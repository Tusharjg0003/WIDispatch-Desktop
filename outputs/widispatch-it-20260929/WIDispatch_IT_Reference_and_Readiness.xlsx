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d3cf03efc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 register" sheetId="1" r:id="Rc40f48f263f94286"/>
    <x:sheet xmlns:r="http://schemas.openxmlformats.org/officeDocument/2006/relationships" name="Roles" sheetId="2" r:id="Rfe9e26cf6118420b"/>
    <x:sheet xmlns:r="http://schemas.openxmlformats.org/officeDocument/2006/relationships" name="Data ownership" sheetId="3" r:id="R1aa0ec725cf843fb"/>
    <x:sheet xmlns:r="http://schemas.openxmlformats.org/officeDocument/2006/relationships" name="Publication" sheetId="4" r:id="Re7f3c21cba3c48f0"/>
    <x:sheet xmlns:r="http://schemas.openxmlformats.org/officeDocument/2006/relationships" name="Integrations" sheetId="5" r:id="R2a18c44b5ed74be0"/>
    <x:sheet xmlns:r="http://schemas.openxmlformats.org/officeDocument/2006/relationships" name="Evidence" sheetId="6" r:id="R6810e27602d84e71"/>
    <x:sheet xmlns:r="http://schemas.openxmlformats.org/officeDocument/2006/relationships" name="Deployment" sheetId="7" r:id="R71b3ed7f56d14165"/>
    <x:sheet xmlns:r="http://schemas.openxmlformats.org/officeDocument/2006/relationships" name="Meeting answers" sheetId="8" r:id="Rb1b18bbd6f6b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8384B"/>
      <x:name val="Arial"/>
    </x:font>
    <x:font>
      <x:b/>
      <x:sz val="17"/>
      <x:color rgb="FF12374B"/>
      <x:name val="Arial"/>
    </x:font>
    <x:font>
      <x:b/>
      <x:sz val="11"/>
      <x:color rgb="FFFFFFFF"/>
      <x:name val="Arial"/>
    </x:font>
    <x:font>
      <x:b/>
      <x:sz val="11"/>
      <x:color rgb="FF007E92"/>
      <x:name val="Arial"/>
    </x:font>
    <x:font>
      <x:b/>
      <x:sz val="14"/>
      <x:color rgb="FF1237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74B"/>
      </x:patternFill>
    </x:fill>
    <x:fill>
      <x:patternFill patternType="solid">
        <x:fgColor rgb="FFF1F6F8"/>
      </x:patternFill>
    </x:fill>
    <x:fill>
      <x:patternFill patternType="solid">
        <x:fgColor rgb="FFFFF6D9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color rgb="FF963A2D"/>
      </x:font>
      <x:fill>
        <x:patternFill patternType="solid">
          <x:bgColor rgb="FFFBE9E7"/>
        </x:patternFill>
      </x:fill>
    </x:dxf>
    <x:dxf>
      <x:font>
        <x:color rgb="FF7B580D"/>
      </x:font>
      <x:fill>
        <x:patternFill patternType="solid">
          <x:bgColor rgb="FFFFF0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2bc4a60e445d2" /><Relationship Type="http://schemas.openxmlformats.org/officeDocument/2006/relationships/theme" Target="/xl/theme/theme1.xml" Id="Rdc296dc715de4503" /><Relationship Type="http://schemas.openxmlformats.org/officeDocument/2006/relationships/sharedStrings" Target="/xl/sharedStrings.xml" Id="Rbc85ce6ec51546d3" /><Relationship Type="http://schemas.openxmlformats.org/officeDocument/2006/relationships/worksheet" Target="/xl/worksheets/sheet1.xml" Id="Rc40f48f263f94286" /><Relationship Type="http://schemas.openxmlformats.org/officeDocument/2006/relationships/worksheet" Target="/xl/worksheets/sheet2.xml" Id="Rfe9e26cf6118420b" /><Relationship Type="http://schemas.openxmlformats.org/officeDocument/2006/relationships/worksheet" Target="/xl/worksheets/sheet3.xml" Id="R1aa0ec725cf843fb" /><Relationship Type="http://schemas.openxmlformats.org/officeDocument/2006/relationships/worksheet" Target="/xl/worksheets/sheet4.xml" Id="Re7f3c21cba3c48f0" /><Relationship Type="http://schemas.openxmlformats.org/officeDocument/2006/relationships/worksheet" Target="/xl/worksheets/sheet5.xml" Id="R2a18c44b5ed74be0" /><Relationship Type="http://schemas.openxmlformats.org/officeDocument/2006/relationships/worksheet" Target="/xl/worksheets/sheet6.xml" Id="R6810e27602d84e71" /><Relationship Type="http://schemas.openxmlformats.org/officeDocument/2006/relationships/worksheet" Target="/xl/worksheets/sheet7.xml" Id="R71b3ed7f56d14165" /><Relationship Type="http://schemas.openxmlformats.org/officeDocument/2006/relationships/worksheet" Target="/xl/worksheets/sheet8.xml" Id="Rb1b18bbd6f6b4b1a" /></Relationships>
</file>

<file path=xl/tables/table1.xml><?xml version="1.0" encoding="utf-8"?>
<x:table xmlns:x="http://schemas.openxmlformats.org/spreadsheetml/2006/main" id="1" name="ReadinessregisterTable" displayName="ReadinessregisterTable" ref="A7:L39" headerRowCount="1" totalsRowCount="0" totalsRowShown="0">
  <x:autoFilter ref="A7:L39"/>
  <x:tableColumns count="12">
    <x:tableColumn id="1" name="ID"/>
    <x:tableColumn id="2" name="Work category"/>
    <x:tableColumn id="3" name="When needed"/>
    <x:tableColumn id="4" name="Capability / control"/>
    <x:tableColumn id="5" name="Current position"/>
    <x:tableColumn id="6" name="Next action"/>
    <x:tableColumn id="7" name="Proposed owner"/>
    <x:tableColumn id="8" name="Acceptance evidence required"/>
    <x:tableColumn id="9" name="Source IDs"/>
    <x:tableColumn id="10" name="Action status"/>
    <x:tableColumn id="11" name="Client decision / named owner"/>
    <x:tableColumn id="12" name="Evidence link / acceptance dat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olesTable" displayName="RolesTable" ref="A6:G12" headerRowCount="1" totalsRowCount="0" totalsRowShown="0">
  <x:autoFilter ref="A6:G12"/>
  <x:tableColumns count="7">
    <x:tableColumn id="1" name="Role"/>
    <x:tableColumn id="2" name="View / scope"/>
    <x:tableColumn id="3" name="Edit / submit"/>
    <x:tableColumn id="4" name="Approve / reject"/>
    <x:tableColumn id="5" name="Manage users"/>
    <x:tableColumn id="6" name="View audit"/>
    <x:tableColumn id="7" name="Source ID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ataownershipTable" displayName="DataownershipTable" ref="A6:F16" headerRowCount="1" totalsRowCount="0" totalsRowShown="0">
  <x:autoFilter ref="A6:F16"/>
  <x:tableColumns count="6">
    <x:tableColumn id="1" name="Data domain"/>
    <x:tableColumn id="2" name="Business steward / author"/>
    <x:tableColumn id="3" name="Persistence"/>
    <x:tableColumn id="4" name="How the platform uses it"/>
    <x:tableColumn id="5" name="Ownership / validation boundary"/>
    <x:tableColumn id="6" name="Source ID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ublicationTable" displayName="PublicationTable" ref="A6:G12" headerRowCount="1" totalsRowCount="0" totalsRowShown="0">
  <x:autoFilter ref="A6:G12"/>
  <x:tableColumns count="7">
    <x:tableColumn id="1" name="Output"/>
    <x:tableColumn id="2" name="Source -&gt; target"/>
    <x:tableColumn id="3" name="Record key / operation"/>
    <x:tableColumn id="4" name="Fields written"/>
    <x:tableColumn id="5" name="Fields preserved / behaviour"/>
    <x:tableColumn id="6" name="Where users see it"/>
    <x:tableColumn id="7" name="Source ID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IntegrationsTable" displayName="IntegrationsTable" ref="A6:G17" headerRowCount="1" totalsRowCount="0" totalsRowShown="0">
  <x:autoFilter ref="A6:G17"/>
  <x:tableColumns count="7">
    <x:tableColumn id="1" name="Interface"/>
    <x:tableColumn id="2" name="Data direction / mechanism"/>
    <x:tableColumn id="3" name="Work category"/>
    <x:tableColumn id="4" name="Evidence available"/>
    <x:tableColumn id="5" name="Remaining configuration / work"/>
    <x:tableColumn id="6" name="Proposed owner"/>
    <x:tableColumn id="7" name="Source IDs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EvidenceTable" displayName="EvidenceTable" ref="A6:G22" headerRowCount="1" totalsRowCount="0" totalsRowShown="0">
  <x:autoFilter ref="A6:G22"/>
  <x:tableColumns count="7">
    <x:tableColumn id="1" name="ID"/>
    <x:tableColumn id="2" name="Control / topic"/>
    <x:tableColumn id="3" name="Evidence status"/>
    <x:tableColumn id="4" name="Available evidence"/>
    <x:tableColumn id="5" name="What the evidence does not establish"/>
    <x:tableColumn id="6" name="Next proof / acceptance"/>
    <x:tableColumn id="7" name="Source ID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DeploymentTable" displayName="DeploymentTable" ref="A6:F17" headerRowCount="1" totalsRowCount="0" totalsRowShown="0">
  <x:autoFilter ref="A6:F17"/>
  <x:tableColumns count="6">
    <x:tableColumn id="1" name="Area"/>
    <x:tableColumn id="2" name="Current / proposed position"/>
    <x:tableColumn id="3" name="Proposed owner"/>
    <x:tableColumn id="4" name="Configuration / decision needed"/>
    <x:tableColumn id="5" name="Acceptance / boundary"/>
    <x:tableColumn id="6" name="Source IDs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MeetinganswersTable" displayName="MeetinganswersTable" ref="A6:D16" headerRowCount="1" totalsRowCount="0" totalsRowShown="0">
  <x:autoFilter ref="A6:D16"/>
  <x:tableColumns count="4">
    <x:tableColumn id="1" name="Likely client question"/>
    <x:tableColumn id="2" name="Suggested answer"/>
    <x:tableColumn id="3" name="Follow-up / boundary"/>
    <x:tableColumn id="4" name="Source ID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c25b7b910c45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7ef5778c544d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2091a2b2b84b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ff01a1c16e4f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70f1078b4b44c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a4a12f2cd5342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dbd1664bf9e40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e140bbd34ae4c9e" /></Relationships>
</file>

<file path=xl/worksheets/sheet1.xml><?xml version="1.0" encoding="utf-8"?>
<x:worksheet xmlns:x="http://schemas.openxmlformats.org/spreadsheetml/2006/main">
  <x:sheetPr>
    <x:tabColor rgb="FF12374B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7.75" hidden="0" customWidth="1"/>
    <x:col min="2" max="2" width="22.75" hidden="0" customWidth="1"/>
    <x:col min="3" max="3" width="22.25" hidden="0" customWidth="1"/>
    <x:col min="4" max="4" width="26.25" hidden="0" customWidth="1"/>
    <x:col min="5" max="5" width="43.130001068115234" hidden="0" customWidth="1"/>
    <x:col min="6" max="6" width="41.880001068115234" hidden="0" customWidth="1"/>
    <x:col min="7" max="7" width="21.25" hidden="0" customWidth="1"/>
    <x:col min="8" max="8" width="43.75" hidden="0" customWidth="1"/>
    <x:col min="9" max="9" width="12.5" hidden="0" customWidth="1"/>
    <x:col min="10" max="10" width="16.5" hidden="0" customWidth="1"/>
    <x:col min="11" max="11" width="33.75" hidden="0" customWidth="1"/>
    <x:col min="12" max="12" width="33.75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.5" customHeight="1">
      <x:c r="A2" s="5" t="str">
        <x:v>WIDispatch IT readiness register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7.25" customHeight="1">
      <x:c r="A3" s="6" t="str">
        <x:v>29 September 2026. Work categories describe implementation needs. Owners are proposed. Verification and acceptance remain explicit.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.5" customHeight="1">
      <x:c r="A4" s="12"/>
      <x:c r="B4" s="12" t="str">
        <x:v>Current capability</x:v>
      </x:c>
      <x:c r="C4" s="12" t="n">
        <x:f>COUNTIF(B8:B39,"Current capability")</x:f>
        <x:v>7</x:v>
      </x:c>
      <x:c r="D4" s="12" t="str">
        <x:v>Configuration required</x:v>
      </x:c>
      <x:c r="E4" s="12" t="n">
        <x:f>COUNTIF(B8:B39,"Configuration required")</x:f>
        <x:v>10</x:v>
      </x:c>
      <x:c r="F4" s="12" t="str">
        <x:v>Development required</x:v>
      </x:c>
      <x:c r="G4" s="12" t="n">
        <x:f>COUNTIF(B8:B39,"Development required")</x:f>
        <x:v>15</x:v>
      </x:c>
      <x:c r="H4" s="3"/>
      <x:c r="I4" s="3"/>
      <x:c r="J4" s="3"/>
      <x:c r="K4" s="3"/>
      <x:c r="L4" s="3"/>
    </x:row>
    <x:row r="5" ht="18" customHeight="1">
      <x:c r="A5" s="6" t="str">
        <x:v>Amber cells are editable meeting inputs. Open means action/acceptance is outstanding, including acceptance of an existing capability.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8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0" customHeight="1">
      <x:c r="A7" s="10" t="str">
        <x:v>ID</x:v>
      </x:c>
      <x:c r="B7" s="10" t="str">
        <x:v>Work category</x:v>
      </x:c>
      <x:c r="C7" s="10" t="str">
        <x:v>When needed</x:v>
      </x:c>
      <x:c r="D7" s="10" t="str">
        <x:v>Capability / control</x:v>
      </x:c>
      <x:c r="E7" s="10" t="str">
        <x:v>Current position</x:v>
      </x:c>
      <x:c r="F7" s="10" t="str">
        <x:v>Next action</x:v>
      </x:c>
      <x:c r="G7" s="10" t="str">
        <x:v>Proposed owner</x:v>
      </x:c>
      <x:c r="H7" s="10" t="str">
        <x:v>Acceptance evidence required</x:v>
      </x:c>
      <x:c r="I7" s="10" t="str">
        <x:v>Source IDs</x:v>
      </x:c>
      <x:c r="J7" s="10" t="str">
        <x:v>Action status</x:v>
      </x:c>
      <x:c r="K7" s="10" t="str">
        <x:v>Client decision / named owner</x:v>
      </x:c>
      <x:c r="L7" s="10" t="str">
        <x:v>Evidence link / acceptance date</x:v>
      </x:c>
    </x:row>
    <x:row r="8" ht="51" customHeight="1">
      <x:c r="A8" s="3" t="str">
        <x:v>C01</x:v>
      </x:c>
      <x:c r="B8" s="3" t="str">
        <x:v>Current capability</x:v>
      </x:c>
      <x:c r="C8" s="3" t="str">
        <x:v>Core workflow</x:v>
      </x:c>
      <x:c r="D8" s="3" t="str">
        <x:v>Portal inputs and approval</x:v>
      </x:c>
      <x:c r="E8" s="3" t="str">
        <x:v>Role helpers and submission routes exist.</x:v>
      </x:c>
      <x:c r="F8" s="3" t="str">
        <x:v>Complete module/role acceptance.</x:v>
      </x:c>
      <x:c r="G8" s="3" t="str">
        <x:v>QA / Operations</x:v>
      </x:c>
      <x:c r="H8" s="3" t="str">
        <x:v>Representative input, approval and rejection succeed in correct scope.</x:v>
      </x:c>
      <x:c r="I8" s="3" t="str">
        <x:v>P1,P3</x:v>
      </x:c>
      <x:c r="J8" s="13" t="str">
        <x:v>Open</x:v>
      </x:c>
      <x:c r="K8" s="13" t="str"/>
      <x:c r="L8" s="13" t="str"/>
    </x:row>
    <x:row r="9" ht="51" customHeight="1">
      <x:c r="A9" s="11" t="str">
        <x:v>C02</x:v>
      </x:c>
      <x:c r="B9" s="11" t="str">
        <x:v>Current capability</x:v>
      </x:c>
      <x:c r="C9" s="11" t="str">
        <x:v>Core workflow</x:v>
      </x:c>
      <x:c r="D9" s="11" t="str">
        <x:v>Asset registry and network</x:v>
      </x:c>
      <x:c r="E9" s="11" t="str">
        <x:v>Registry, graph and transmission system routes exist.</x:v>
      </x:c>
      <x:c r="F9" s="11" t="str">
        <x:v>Agree stewardship and test save/reload.</x:v>
      </x:c>
      <x:c r="G9" s="11" t="str">
        <x:v>Asset steward / QA</x:v>
      </x:c>
      <x:c r="H9" s="11" t="str">
        <x:v>Stable asset IDs and saved topology reconcile across views.</x:v>
      </x:c>
      <x:c r="I9" s="11" t="str">
        <x:v>D6</x:v>
      </x:c>
      <x:c r="J9" s="13" t="str">
        <x:v>Open</x:v>
      </x:c>
      <x:c r="K9" s="13" t="str"/>
      <x:c r="L9" s="13" t="str"/>
    </x:row>
    <x:row r="10" ht="51" customHeight="1">
      <x:c r="A10" s="3" t="str">
        <x:v>C03</x:v>
      </x:c>
      <x:c r="B10" s="3" t="str">
        <x:v>Current capability</x:v>
      </x:c>
      <x:c r="C10" s="3" t="str">
        <x:v>Core workflow</x:v>
      </x:c>
      <x:c r="D10" s="3" t="str">
        <x:v>Dispatch calculation</x:v>
      </x:c>
      <x:c r="E10" s="3" t="str">
        <x:v>Daily sequential min-cost maximum-flow subproblems with storage carryover.</x:v>
      </x:c>
      <x:c r="F10" s="3" t="str">
        <x:v>Validate client scenarios and operational assumptions.</x:v>
      </x:c>
      <x:c r="G10" s="3" t="str">
        <x:v>Planning / QA</x:v>
      </x:c>
      <x:c r="H10" s="3" t="str">
        <x:v>Known shortage, bottleneck, outage and storage fixtures meet expected outcomes.</x:v>
      </x:c>
      <x:c r="I10" s="3" t="str">
        <x:v>D5,T1</x:v>
      </x:c>
      <x:c r="J10" s="13" t="str">
        <x:v>Open</x:v>
      </x:c>
      <x:c r="K10" s="13" t="str"/>
      <x:c r="L10" s="13" t="str"/>
    </x:row>
    <x:row r="11" ht="51" customHeight="1">
      <x:c r="A11" s="11" t="str">
        <x:v>C04</x:v>
      </x:c>
      <x:c r="B11" s="11" t="str">
        <x:v>Current capability</x:v>
      </x:c>
      <x:c r="C11" s="11" t="str">
        <x:v>Core workflow</x:v>
      </x:c>
      <x:c r="D11" s="11" t="str">
        <x:v>Decision review and comments</x:v>
      </x:c>
      <x:c r="E11" s="11" t="str">
        <x:v>Supported demand/maintenance patches and comments exist.</x:v>
      </x:c>
      <x:c r="F11" s="11" t="str">
        <x:v>Demonstrate existing bounds; explain feasibility limitation.</x:v>
      </x:c>
      <x:c r="G11" s="11" t="str">
        <x:v>Planning / QA</x:v>
      </x:c>
      <x:c r="H11" s="11" t="str">
        <x:v>Invalid quantities and missing required comments are rejected.</x:v>
      </x:c>
      <x:c r="I11" s="11" t="str">
        <x:v>D3,T1</x:v>
      </x:c>
      <x:c r="J11" s="13" t="str">
        <x:v>Open</x:v>
      </x:c>
      <x:c r="K11" s="13" t="str"/>
      <x:c r="L11" s="13" t="str"/>
    </x:row>
    <x:row r="12" ht="51" customHeight="1">
      <x:c r="A12" s="3" t="str">
        <x:v>C05</x:v>
      </x:c>
      <x:c r="B12" s="3" t="str">
        <x:v>Current capability</x:v>
      </x:c>
      <x:c r="C12" s="3" t="str">
        <x:v>Core workflow</x:v>
      </x:c>
      <x:c r="D12" s="3" t="str">
        <x:v>Explicit publication</x:v>
      </x:c>
      <x:c r="E12" s="3" t="str">
        <x:v>Production/demand/maintenance writeback and plan lineage exist.</x:v>
      </x:c>
      <x:c r="F12" s="3" t="str">
        <x:v>Reconcile target fields in each portal.</x:v>
      </x:c>
      <x:c r="G12" s="3" t="str">
        <x:v>Engineering / QA</x:v>
      </x:c>
      <x:c r="H12" s="3" t="str">
        <x:v>Expected records and fields match the published plan.</x:v>
      </x:c>
      <x:c r="I12" s="3" t="str">
        <x:v>D4</x:v>
      </x:c>
      <x:c r="J12" s="13" t="str">
        <x:v>Open</x:v>
      </x:c>
      <x:c r="K12" s="13" t="str"/>
      <x:c r="L12" s="13" t="str"/>
    </x:row>
    <x:row r="13" ht="51" customHeight="1">
      <x:c r="A13" s="11" t="str">
        <x:v>C06</x:v>
      </x:c>
      <x:c r="B13" s="11" t="str">
        <x:v>Current capability</x:v>
      </x:c>
      <x:c r="C13" s="11" t="str">
        <x:v>Core workflow</x:v>
      </x:c>
      <x:c r="D13" s="11" t="str">
        <x:v>File exchange</x:v>
      </x:c>
      <x:c r="E13" s="11" t="str">
        <x:v>Spreadsheet and canvas GIS/file handlers exist.</x:v>
      </x:c>
      <x:c r="F13" s="11" t="str">
        <x:v>Test agreed files and mapping.</x:v>
      </x:c>
      <x:c r="G13" s="11" t="str">
        <x:v>GIS / Operations</x:v>
      </x:c>
      <x:c r="H13" s="11" t="str">
        <x:v>Accepted files round-trip with expected IDs, units and geometry.</x:v>
      </x:c>
      <x:c r="I13" s="11" t="str">
        <x:v>G1,P6</x:v>
      </x:c>
      <x:c r="J13" s="13" t="str">
        <x:v>Open</x:v>
      </x:c>
      <x:c r="K13" s="13" t="str"/>
      <x:c r="L13" s="13" t="str"/>
    </x:row>
    <x:row r="14" ht="51" customHeight="1">
      <x:c r="A14" s="3" t="str">
        <x:v>C07</x:v>
      </x:c>
      <x:c r="B14" s="3" t="str">
        <x:v>Current capability</x:v>
      </x:c>
      <x:c r="C14" s="3" t="str">
        <x:v>Core workflow</x:v>
      </x:c>
      <x:c r="D14" s="3" t="str">
        <x:v>Backend test baseline</x:v>
      </x:c>
      <x:c r="E14" s="3" t="str">
        <x:v>87 existing tests pass in local execution.</x:v>
      </x:c>
      <x:c r="F14" s="3" t="str">
        <x:v>Retain test log and add missing integration scenarios.</x:v>
      </x:c>
      <x:c r="G14" s="3" t="str">
        <x:v>Engineering / QA</x:v>
      </x:c>
      <x:c r="H14" s="3" t="str">
        <x:v>Regression suite remains passing on release revision.</x:v>
      </x:c>
      <x:c r="I14" s="3" t="str">
        <x:v>T1</x:v>
      </x:c>
      <x:c r="J14" s="13" t="str">
        <x:v>Open</x:v>
      </x:c>
      <x:c r="K14" s="13" t="str"/>
      <x:c r="L14" s="13" t="str"/>
    </x:row>
    <x:row r="15" ht="51" customHeight="1">
      <x:c r="A15" s="11" t="str">
        <x:v>F01</x:v>
      </x:c>
      <x:c r="B15" s="11" t="str">
        <x:v>Configuration required</x:v>
      </x:c>
      <x:c r="C15" s="11" t="str">
        <x:v>Before client deployment</x:v>
      </x:c>
      <x:c r="D15" s="11" t="str">
        <x:v>Hosting and residency</x:v>
      </x:c>
      <x:c r="E15" s="11" t="str">
        <x:v>No approved client deployment inspected.</x:v>
      </x:c>
      <x:c r="F15" s="11" t="str">
        <x:v>Agree region, hosting owner, domains and isolated environments.</x:v>
      </x:c>
      <x:c r="G15" s="11" t="str">
        <x:v>Client IT / Service owner</x:v>
      </x:c>
      <x:c r="H15" s="11" t="str">
        <x:v>Approved deployment record and environment boundaries.</x:v>
      </x:c>
      <x:c r="I15" s="11" t="str">
        <x:v>R1</x:v>
      </x:c>
      <x:c r="J15" s="13" t="str">
        <x:v>Open</x:v>
      </x:c>
      <x:c r="K15" s="13" t="str"/>
      <x:c r="L15" s="13" t="str"/>
    </x:row>
    <x:row r="16" ht="51" customHeight="1">
      <x:c r="A16" s="3" t="str">
        <x:v>F02</x:v>
      </x:c>
      <x:c r="B16" s="3" t="str">
        <x:v>Configuration required</x:v>
      </x:c>
      <x:c r="C16" s="3" t="str">
        <x:v>Before client deployment</x:v>
      </x:c>
      <x:c r="D16" s="3" t="str">
        <x:v>HTTPS and private database</x:v>
      </x:c>
      <x:c r="E16" s="3" t="str">
        <x:v>Transport/network controls are deployment-dependent.</x:v>
      </x:c>
      <x:c r="F16" s="3" t="str">
        <x:v>Configure certificates, private DB access and least-privilege accounts.</x:v>
      </x:c>
      <x:c r="G16" s="3" t="str">
        <x:v>IT / DBA</x:v>
      </x:c>
      <x:c r="H16" s="3" t="str">
        <x:v>Approved HTTPS entry points work; public DB/admin access denied.</x:v>
      </x:c>
      <x:c r="I16" s="3" t="str">
        <x:v>D1,D2,R1</x:v>
      </x:c>
      <x:c r="J16" s="13" t="str">
        <x:v>Open</x:v>
      </x:c>
      <x:c r="K16" s="13" t="str"/>
      <x:c r="L16" s="13" t="str"/>
    </x:row>
    <x:row r="17" ht="51" customHeight="1">
      <x:c r="A17" s="11" t="str">
        <x:v>F03</x:v>
      </x:c>
      <x:c r="B17" s="11" t="str">
        <x:v>Configuration required</x:v>
      </x:c>
      <x:c r="C17" s="11" t="str">
        <x:v>Before client deployment</x:v>
      </x:c>
      <x:c r="D17" s="11" t="str">
        <x:v>Identity scope and provisioning</x:v>
      </x:c>
      <x:c r="E17" s="11" t="str">
        <x:v>Portal scopes exist but vary by app/asset type.</x:v>
      </x:c>
      <x:c r="F17" s="11" t="str">
        <x:v>Agree role assignments and offboarding policy after API gaps close.</x:v>
      </x:c>
      <x:c r="G17" s="11" t="str">
        <x:v>Identity / Business owner</x:v>
      </x:c>
      <x:c r="H17" s="11" t="str">
        <x:v>Role matrix and access/revocation acceptance signed off.</x:v>
      </x:c>
      <x:c r="I17" s="11" t="str">
        <x:v>P1,P2</x:v>
      </x:c>
      <x:c r="J17" s="13" t="str">
        <x:v>Open</x:v>
      </x:c>
      <x:c r="K17" s="13" t="str"/>
      <x:c r="L17" s="13" t="str"/>
    </x:row>
    <x:row r="18" ht="51" customHeight="1">
      <x:c r="A18" s="3" t="str">
        <x:v>F04</x:v>
      </x:c>
      <x:c r="B18" s="3" t="str">
        <x:v>Configuration required</x:v>
      </x:c>
      <x:c r="C18" s="3" t="str">
        <x:v>Before client deployment</x:v>
      </x:c>
      <x:c r="D18" s="3" t="str">
        <x:v>Email delivery</x:v>
      </x:c>
      <x:c r="E18" s="3" t="str">
        <x:v>Provider adapters exist; console is default.</x:v>
      </x:c>
      <x:c r="F18" s="3" t="str">
        <x:v>Configure sender/provider/recipients and confirm dependencies.</x:v>
      </x:c>
      <x:c r="G18" s="3" t="str">
        <x:v>IT / Engineering</x:v>
      </x:c>
      <x:c r="H18" s="3" t="str">
        <x:v>Submission and approval messages deliver to approved recipients.</x:v>
      </x:c>
      <x:c r="I18" s="3" t="str">
        <x:v>P5</x:v>
      </x:c>
      <x:c r="J18" s="13" t="str">
        <x:v>Open</x:v>
      </x:c>
      <x:c r="K18" s="13" t="str"/>
      <x:c r="L18" s="13" t="str"/>
    </x:row>
    <x:row r="19" ht="51" customHeight="1">
      <x:c r="A19" s="11" t="str">
        <x:v>F05</x:v>
      </x:c>
      <x:c r="B19" s="11" t="str">
        <x:v>Configuration required</x:v>
      </x:c>
      <x:c r="C19" s="11" t="str">
        <x:v>Before client deployment</x:v>
      </x:c>
      <x:c r="D19" s="11" t="str">
        <x:v>Map connectivity</x:v>
      </x:c>
      <x:c r="E19" s="11" t="str">
        <x:v>External map tile URLs exist.</x:v>
      </x:c>
      <x:c r="F19" s="11" t="str">
        <x:v>Approve outbound hosts or scope an internal map alternative.</x:v>
      </x:c>
      <x:c r="G19" s="11" t="str">
        <x:v>IT / GIS</x:v>
      </x:c>
      <x:c r="H19" s="11" t="str">
        <x:v>Maps load under agreed network policy.</x:v>
      </x:c>
      <x:c r="I19" s="11" t="str">
        <x:v>G1</x:v>
      </x:c>
      <x:c r="J19" s="13" t="str">
        <x:v>Open</x:v>
      </x:c>
      <x:c r="K19" s="13" t="str"/>
      <x:c r="L19" s="13" t="str"/>
    </x:row>
    <x:row r="20" ht="51" customHeight="1">
      <x:c r="A20" s="3" t="str">
        <x:v>F06</x:v>
      </x:c>
      <x:c r="B20" s="3" t="str">
        <x:v>Configuration required</x:v>
      </x:c>
      <x:c r="C20" s="3" t="str">
        <x:v>Before client deployment</x:v>
      </x:c>
      <x:c r="D20" s="3" t="str">
        <x:v>Backups and restore</x:v>
      </x:c>
      <x:c r="E20" s="3" t="str">
        <x:v>No operational recovery evidence reviewed.</x:v>
      </x:c>
      <x:c r="F20" s="3" t="str">
        <x:v>Agree RPO/RTO/retention, configure jobs and rehearse restore.</x:v>
      </x:c>
      <x:c r="G20" s="3" t="str">
        <x:v>Operations / DBA</x:v>
      </x:c>
      <x:c r="H20" s="3" t="str">
        <x:v>Measured isolated restore meets agreed targets with retained plan checks.</x:v>
      </x:c>
      <x:c r="I20" s="3" t="str">
        <x:v>R1</x:v>
      </x:c>
      <x:c r="J20" s="13" t="str">
        <x:v>Open</x:v>
      </x:c>
      <x:c r="K20" s="13" t="str"/>
      <x:c r="L20" s="13" t="str"/>
    </x:row>
    <x:row r="21" ht="51" customHeight="1">
      <x:c r="A21" s="11" t="str">
        <x:v>F07</x:v>
      </x:c>
      <x:c r="B21" s="11" t="str">
        <x:v>Configuration required</x:v>
      </x:c>
      <x:c r="C21" s="11" t="str">
        <x:v>Before client deployment</x:v>
      </x:c>
      <x:c r="D21" s="11" t="str">
        <x:v>Monitoring and support</x:v>
      </x:c>
      <x:c r="E21" s="11" t="str">
        <x:v>Service health route exists; operations arrangement unverified.</x:v>
      </x:c>
      <x:c r="F21" s="11" t="str">
        <x:v>Agree alerts, escalation, support hours and responsibility matrix.</x:v>
      </x:c>
      <x:c r="G21" s="11" t="str">
        <x:v>Service owner / Client IT</x:v>
      </x:c>
      <x:c r="H21" s="11" t="str">
        <x:v>Failure alert and escalation exercise completes.</x:v>
      </x:c>
      <x:c r="I21" s="11" t="str">
        <x:v>D1,R1</x:v>
      </x:c>
      <x:c r="J21" s="13" t="str">
        <x:v>Open</x:v>
      </x:c>
      <x:c r="K21" s="13" t="str"/>
      <x:c r="L21" s="13" t="str"/>
    </x:row>
    <x:row r="22" ht="51" customHeight="1">
      <x:c r="A22" s="3" t="str">
        <x:v>F08</x:v>
      </x:c>
      <x:c r="B22" s="3" t="str">
        <x:v>Configuration required</x:v>
      </x:c>
      <x:c r="C22" s="3" t="str">
        <x:v>Before client deployment</x:v>
      </x:c>
      <x:c r="D22" s="3" t="str">
        <x:v>Performance acceptance</x:v>
      </x:c>
      <x:c r="E22" s="3" t="str">
        <x:v>No measured client-host capacity established.</x:v>
      </x:c>
      <x:c r="F22" s="3" t="str">
        <x:v>Agree workload and execute controlled load tests.</x:v>
      </x:c>
      <x:c r="G22" s="3" t="str">
        <x:v>QA / IT</x:v>
      </x:c>
      <x:c r="H22" s="3" t="str">
        <x:v>Measured API and run timings meet agreed targets.</x:v>
      </x:c>
      <x:c r="I22" s="3" t="str">
        <x:v>R1,T1</x:v>
      </x:c>
      <x:c r="J22" s="13" t="str">
        <x:v>Open</x:v>
      </x:c>
      <x:c r="K22" s="13" t="str"/>
      <x:c r="L22" s="13" t="str"/>
    </x:row>
    <x:row r="23" ht="51" customHeight="1">
      <x:c r="A23" s="11" t="str">
        <x:v>F09</x:v>
      </x:c>
      <x:c r="B23" s="11" t="str">
        <x:v>Configuration required</x:v>
      </x:c>
      <x:c r="C23" s="11" t="str">
        <x:v>Before client deployment</x:v>
      </x:c>
      <x:c r="D23" s="11" t="str">
        <x:v>Cost fallback policy</x:v>
      </x:c>
      <x:c r="E23" s="11" t="str">
        <x:v>Approved Economics value, plant spec, then default 2.10 SAR/m3.</x:v>
      </x:c>
      <x:c r="F23" s="11" t="str">
        <x:v>Agree whether fallback may be used and how users approve it.</x:v>
      </x:c>
      <x:c r="G23" s="11" t="str">
        <x:v>Finance / Planning</x:v>
      </x:c>
      <x:c r="H23" s="11" t="str">
        <x:v>Missing-cost scenario clearly flags source and follows approved policy.</x:v>
      </x:c>
      <x:c r="I23" s="11" t="str">
        <x:v>D5</x:v>
      </x:c>
      <x:c r="J23" s="13" t="str">
        <x:v>Open</x:v>
      </x:c>
      <x:c r="K23" s="13" t="str"/>
      <x:c r="L23" s="13" t="str"/>
    </x:row>
    <x:row r="24" ht="51" customHeight="1">
      <x:c r="A24" s="3" t="str">
        <x:v>F10</x:v>
      </x:c>
      <x:c r="B24" s="3" t="str">
        <x:v>Configuration required</x:v>
      </x:c>
      <x:c r="C24" s="3" t="str">
        <x:v>Before client deployment</x:v>
      </x:c>
      <x:c r="D24" s="3" t="str">
        <x:v>Retention and data exit</x:v>
      </x:c>
      <x:c r="E24" s="3" t="str">
        <x:v>Commercial and operational terms need agreement.</x:v>
      </x:c>
      <x:c r="F24" s="3" t="str">
        <x:v>Define records retained, export formats, disposal and access termination.</x:v>
      </x:c>
      <x:c r="G24" s="3" t="str">
        <x:v>Data owner / Service owner</x:v>
      </x:c>
      <x:c r="H24" s="3" t="str">
        <x:v>Approved data-exit sample and retention schedule.</x:v>
      </x:c>
      <x:c r="I24" s="3" t="str">
        <x:v>R1</x:v>
      </x:c>
      <x:c r="J24" s="13" t="str">
        <x:v>Open</x:v>
      </x:c>
      <x:c r="K24" s="13" t="str"/>
      <x:c r="L24" s="13" t="str"/>
    </x:row>
    <x:row r="25" ht="51" customHeight="1">
      <x:c r="A25" s="11" t="str">
        <x:v>D01</x:v>
      </x:c>
      <x:c r="B25" s="11" t="str">
        <x:v>Development required</x:v>
      </x:c>
      <x:c r="C25" s="11" t="str">
        <x:v>Before production use</x:v>
      </x:c>
      <x:c r="D25" s="11" t="str">
        <x:v>Desktop authentication and RBAC</x:v>
      </x:c>
      <x:c r="E25" s="11" t="str">
        <x:v>No authenticated/scoped API boundary in inspected server.</x:v>
      </x:c>
      <x:c r="F25" s="11" t="str">
        <x:v>Implement verified identity, scope and action checks.</x:v>
      </x:c>
      <x:c r="G25" s="11" t="str">
        <x:v>Engineering / Security</x:v>
      </x:c>
      <x:c r="H25" s="11" t="str">
        <x:v>Anonymous and cross-scope calls fail; valid roles can perform allowed actions.</x:v>
      </x:c>
      <x:c r="I25" s="11" t="str">
        <x:v>D1</x:v>
      </x:c>
      <x:c r="J25" s="13" t="str">
        <x:v>Open</x:v>
      </x:c>
      <x:c r="K25" s="13" t="str"/>
      <x:c r="L25" s="13" t="str"/>
    </x:row>
    <x:row r="26" ht="51" customHeight="1">
      <x:c r="A26" s="3" t="str">
        <x:v>D02</x:v>
      </x:c>
      <x:c r="B26" s="3" t="str">
        <x:v>Development required</x:v>
      </x:c>
      <x:c r="C26" s="3" t="str">
        <x:v>Before production use</x:v>
      </x:c>
      <x:c r="D26" s="3" t="str">
        <x:v>Portal approval scope and duties</x:v>
      </x:c>
      <x:c r="E26" s="3" t="str">
        <x:v>Role check does not establish record-level scope or maker/checker separation.</x:v>
      </x:c>
      <x:c r="F26" s="3" t="str">
        <x:v>Add scope and distinct-actor policy enforcement.</x:v>
      </x:c>
      <x:c r="G26" s="3" t="str">
        <x:v>Engineering / Security</x:v>
      </x:c>
      <x:c r="H26" s="3" t="str">
        <x:v>Cross-scope and prohibited self-approval tests reject without mutation.</x:v>
      </x:c>
      <x:c r="I26" s="3" t="str">
        <x:v>P3</x:v>
      </x:c>
      <x:c r="J26" s="13" t="str">
        <x:v>Open</x:v>
      </x:c>
      <x:c r="K26" s="13" t="str"/>
      <x:c r="L26" s="13" t="str"/>
    </x:row>
    <x:row r="27" ht="51" customHeight="1">
      <x:c r="A27" s="11" t="str">
        <x:v>D03</x:v>
      </x:c>
      <x:c r="B27" s="11" t="str">
        <x:v>Development required</x:v>
      </x:c>
      <x:c r="C27" s="11" t="str">
        <x:v>Before production use</x:v>
      </x:c>
      <x:c r="D27" s="11" t="str">
        <x:v>Authoritative database configuration</x:v>
      </x:c>
      <x:c r="E27" s="11" t="str">
        <x:v>Selection differs across apps and assignment routes.</x:v>
      </x:c>
      <x:c r="F27" s="11" t="str">
        <x:v>Use validated environment-specific DB configuration consistently.</x:v>
      </x:c>
      <x:c r="G27" s="11" t="str">
        <x:v>Engineering / DBA</x:v>
      </x:c>
      <x:c r="H27" s="11" t="str">
        <x:v>All five apps plus user assignment read the intended isolated dataset.</x:v>
      </x:c>
      <x:c r="I27" s="11" t="str">
        <x:v>D2</x:v>
      </x:c>
      <x:c r="J27" s="13" t="str">
        <x:v>Open</x:v>
      </x:c>
      <x:c r="K27" s="13" t="str"/>
      <x:c r="L27" s="13" t="str"/>
    </x:row>
    <x:row r="28" ht="51" customHeight="1">
      <x:c r="A28" s="3" t="str">
        <x:v>D04</x:v>
      </x:c>
      <x:c r="B28" s="3" t="str">
        <x:v>Development required</x:v>
      </x:c>
      <x:c r="C28" s="3" t="str">
        <x:v>Before production use</x:v>
      </x:c>
      <x:c r="D28" s="3" t="str">
        <x:v>Atomic publication and retries</x:v>
      </x:c>
      <x:c r="E28" s="3" t="str">
        <x:v>Parallel bulk writes without a transaction or idempotency key.</x:v>
      </x:c>
      <x:c r="F28" s="3" t="str">
        <x:v>Add transactional publication and safe retry identity.</x:v>
      </x:c>
      <x:c r="G28" s="3" t="str">
        <x:v>Engineering / DBA</x:v>
      </x:c>
      <x:c r="H28" s="3" t="str">
        <x:v>Injected failure rolls back; repeated/concurrent request commits once.</x:v>
      </x:c>
      <x:c r="I28" s="3" t="str">
        <x:v>D4</x:v>
      </x:c>
      <x:c r="J28" s="13" t="str">
        <x:v>Open</x:v>
      </x:c>
      <x:c r="K28" s="13" t="str"/>
      <x:c r="L28" s="13" t="str"/>
    </x:row>
    <x:row r="29" ht="51" customHeight="1">
      <x:c r="A29" s="11" t="str">
        <x:v>D05</x:v>
      </x:c>
      <x:c r="B29" s="11" t="str">
        <x:v>Development required</x:v>
      </x:c>
      <x:c r="C29" s="11" t="str">
        <x:v>Before production use</x:v>
      </x:c>
      <x:c r="D29" s="11" t="str">
        <x:v>Draft concurrency and input versions</x:v>
      </x:c>
      <x:c r="E29" s="11" t="str">
        <x:v>Draft status guard exists; no revision token or immutable input-version check.</x:v>
      </x:c>
      <x:c r="F29" s="11" t="str">
        <x:v>Add compare-and-set revisions and input snapshot/version validation.</x:v>
      </x:c>
      <x:c r="G29" s="11" t="str">
        <x:v>Engineering</x:v>
      </x:c>
      <x:c r="H29" s="11" t="str">
        <x:v>Stale edits conflict; changed planning inputs require revalidation.</x:v>
      </x:c>
      <x:c r="I29" s="11" t="str">
        <x:v>D3,D4</x:v>
      </x:c>
      <x:c r="J29" s="13" t="str">
        <x:v>Open</x:v>
      </x:c>
      <x:c r="K29" s="13" t="str"/>
      <x:c r="L29" s="13" t="str"/>
    </x:row>
    <x:row r="30" ht="51" customHeight="1">
      <x:c r="A30" s="3" t="str">
        <x:v>D06</x:v>
      </x:c>
      <x:c r="B30" s="3" t="str">
        <x:v>Development required</x:v>
      </x:c>
      <x:c r="C30" s="3" t="str">
        <x:v>Before production use</x:v>
      </x:c>
      <x:c r="D30" s="3" t="str">
        <x:v>Manual edit feasibility</x:v>
      </x:c>
      <x:c r="E30" s="3" t="str">
        <x:v>Patches change decisions without recalculating allocation/flow.</x:v>
      </x:c>
      <x:c r="F30" s="3" t="str">
        <x:v>Define approved edit policy and re-solve/revalidate affected plan.</x:v>
      </x:c>
      <x:c r="G30" s="3" t="str">
        <x:v>Planning / Engineering</x:v>
      </x:c>
      <x:c r="H30" s="3" t="str">
        <x:v>Edited demand remains consistent with feasible supply, network flow and output allocations.</x:v>
      </x:c>
      <x:c r="I30" s="3" t="str">
        <x:v>D3,D4</x:v>
      </x:c>
      <x:c r="J30" s="13" t="str">
        <x:v>Open</x:v>
      </x:c>
      <x:c r="K30" s="13" t="str"/>
      <x:c r="L30" s="13" t="str"/>
    </x:row>
    <x:row r="31" ht="51" customHeight="1">
      <x:c r="A31" s="11" t="str">
        <x:v>D07</x:v>
      </x:c>
      <x:c r="B31" s="11" t="str">
        <x:v>Development required</x:v>
      </x:c>
      <x:c r="C31" s="11" t="str">
        <x:v>Before production use</x:v>
      </x:c>
      <x:c r="D31" s="11" t="str">
        <x:v>Publication completeness</x:v>
      </x:c>
      <x:c r="E31" s="11" t="str">
        <x:v>Modified/upsert counts do not prove every target matched.</x:v>
      </x:c>
      <x:c r="F31" s="11" t="str">
        <x:v>Check expected/matched records and block incomplete publication.</x:v>
      </x:c>
      <x:c r="G31" s="11" t="str">
        <x:v>Engineering</x:v>
      </x:c>
      <x:c r="H31" s="11" t="str">
        <x:v>Missing demand/maintenance target fails safely with a clear reason.</x:v>
      </x:c>
      <x:c r="I31" s="11" t="str">
        <x:v>D4</x:v>
      </x:c>
      <x:c r="J31" s="13" t="str">
        <x:v>Open</x:v>
      </x:c>
      <x:c r="K31" s="13" t="str"/>
      <x:c r="L31" s="13" t="str"/>
    </x:row>
    <x:row r="32" ht="51" customHeight="1">
      <x:c r="A32" s="3" t="str">
        <x:v>D08</x:v>
      </x:c>
      <x:c r="B32" s="3" t="str">
        <x:v>Development required</x:v>
      </x:c>
      <x:c r="C32" s="3" t="str">
        <x:v>Before production use</x:v>
      </x:c>
      <x:c r="D32" s="3" t="str">
        <x:v>Authenticated audit and retention</x:v>
      </x:c>
      <x:c r="E32" s="3" t="str">
        <x:v>Portal audit and plan IDs exist; complete Desktop actor trail absent.</x:v>
      </x:c>
      <x:c r="F32" s="3" t="str">
        <x:v>Record actor, revision, input basis, outcome and request identity; protect retention.</x:v>
      </x:c>
      <x:c r="G32" s="3" t="str">
        <x:v>Engineering / Security</x:v>
      </x:c>
      <x:c r="H32" s="3" t="str">
        <x:v>Publication and overrides trace to authenticated actors and immutable evidence.</x:v>
      </x:c>
      <x:c r="I32" s="3" t="str">
        <x:v>D1,P7,D4</x:v>
      </x:c>
      <x:c r="J32" s="13" t="str">
        <x:v>Open</x:v>
      </x:c>
      <x:c r="K32" s="13" t="str"/>
      <x:c r="L32" s="13" t="str"/>
    </x:row>
    <x:row r="33" ht="51" customHeight="1">
      <x:c r="A33" s="11" t="str">
        <x:v>D09</x:v>
      </x:c>
      <x:c r="B33" s="11" t="str">
        <x:v>Development required</x:v>
      </x:c>
      <x:c r="C33" s="11" t="str">
        <x:v>Before production use</x:v>
      </x:c>
      <x:c r="D33" s="11" t="str">
        <x:v>Secrets, CORS and diagnostics</x:v>
      </x:c>
      <x:c r="E33" s="11" t="str">
        <x:v>Fallback signing key, open CORS and diagnostic email route identified.</x:v>
      </x:c>
      <x:c r="F33" s="11" t="str">
        <x:v>Remove insecure defaults; require secrets; restrict origins and diagnostics.</x:v>
      </x:c>
      <x:c r="G33" s="11" t="str">
        <x:v>Engineering / Security</x:v>
      </x:c>
      <x:c r="H33" s="11" t="str">
        <x:v>Missing secrets fail startup; unapproved origins/diagnostics are denied.</x:v>
      </x:c>
      <x:c r="I33" s="11" t="str">
        <x:v>D1,P2,P5</x:v>
      </x:c>
      <x:c r="J33" s="13" t="str">
        <x:v>Open</x:v>
      </x:c>
      <x:c r="K33" s="13" t="str"/>
      <x:c r="L33" s="13" t="str"/>
    </x:row>
    <x:row r="34" ht="51" customHeight="1">
      <x:c r="A34" s="3" t="str">
        <x:v>D10</x:v>
      </x:c>
      <x:c r="B34" s="3" t="str">
        <x:v>Development required</x:v>
      </x:c>
      <x:c r="C34" s="3" t="str">
        <x:v>If client requires</x:v>
      </x:c>
      <x:c r="D34" s="3" t="str">
        <x:v>Corporate SSO / MFA</x:v>
      </x:c>
      <x:c r="E34" s="3" t="str">
        <x:v>Local password/JWT login observed; enterprise federation not identified.</x:v>
      </x:c>
      <x:c r="F34" s="3" t="str">
        <x:v>Integrate approved IdP and map groups to roles/scopes.</x:v>
      </x:c>
      <x:c r="G34" s="3" t="str">
        <x:v>Identity / Engineering</x:v>
      </x:c>
      <x:c r="H34" s="3" t="str">
        <x:v>SSO, MFA policy, session revocation and offboarding pass UAT.</x:v>
      </x:c>
      <x:c r="I34" s="3" t="str">
        <x:v>P2,S1</x:v>
      </x:c>
      <x:c r="J34" s="13" t="str">
        <x:v>Open</x:v>
      </x:c>
      <x:c r="K34" s="13" t="str"/>
      <x:c r="L34" s="13" t="str"/>
    </x:row>
    <x:row r="35" ht="51" customHeight="1">
      <x:c r="A35" s="11" t="str">
        <x:v>D11</x:v>
      </x:c>
      <x:c r="B35" s="11" t="str">
        <x:v>Development required</x:v>
      </x:c>
      <x:c r="C35" s="11" t="str">
        <x:v>If client requires</x:v>
      </x:c>
      <x:c r="D35" s="11" t="str">
        <x:v>ERP / EAM / historian connectors</x:v>
      </x:c>
      <x:c r="E35" s="11" t="str">
        <x:v>No connector implementation identified in inspected app/lib paths.</x:v>
      </x:c>
      <x:c r="F35" s="11" t="str">
        <x:v>Define interface contract then develop and test adapters.</x:v>
      </x:c>
      <x:c r="G35" s="11" t="str">
        <x:v>System owners / Engineering</x:v>
      </x:c>
      <x:c r="H35" s="11" t="str">
        <x:v>Mapped data exchange handles duplicates, failures and reconciliation.</x:v>
      </x:c>
      <x:c r="I35" s="11" t="str">
        <x:v>S1</x:v>
      </x:c>
      <x:c r="J35" s="13" t="str">
        <x:v>Open</x:v>
      </x:c>
      <x:c r="K35" s="13" t="str"/>
      <x:c r="L35" s="13" t="str"/>
    </x:row>
    <x:row r="36" ht="51" customHeight="1">
      <x:c r="A36" s="3" t="str">
        <x:v>D12</x:v>
      </x:c>
      <x:c r="B36" s="3" t="str">
        <x:v>Development required</x:v>
      </x:c>
      <x:c r="C36" s="3" t="str">
        <x:v>Before production use</x:v>
      </x:c>
      <x:c r="D36" s="3" t="str">
        <x:v>Demand decision display</x:v>
      </x:c>
      <x:c r="E36" s="3" t="str">
        <x:v>Inspected daily table uses required_m3 and received_m3, not desktop_approved_m3.</x:v>
      </x:c>
      <x:c r="F36" s="3" t="str">
        <x:v>Expose allocated decision/comment/plan lineage consistently if required by workflow.</x:v>
      </x:c>
      <x:c r="G36" s="3" t="str">
        <x:v>Product / Engineering</x:v>
      </x:c>
      <x:c r="H36" s="3" t="str">
        <x:v>Published allocation and rationale are visible at the agreed receiving-point screen.</x:v>
      </x:c>
      <x:c r="I36" s="3" t="str">
        <x:v>P4,D4</x:v>
      </x:c>
      <x:c r="J36" s="13" t="str">
        <x:v>Open</x:v>
      </x:c>
      <x:c r="K36" s="13" t="str"/>
      <x:c r="L36" s="13" t="str"/>
    </x:row>
    <x:row r="37" ht="51" customHeight="1">
      <x:c r="A37" s="11" t="str">
        <x:v>D13</x:v>
      </x:c>
      <x:c r="B37" s="11" t="str">
        <x:v>Development required</x:v>
      </x:c>
      <x:c r="C37" s="11" t="str">
        <x:v>Before production use</x:v>
      </x:c>
      <x:c r="D37" s="11" t="str">
        <x:v>Referenced asset deletion</x:v>
      </x:c>
      <x:c r="E37" s="11" t="str">
        <x:v>Registry delete path does not check retained network/plan references.</x:v>
      </x:c>
      <x:c r="F37" s="11" t="str">
        <x:v>Protect referenced assets or implement approved archival rules.</x:v>
      </x:c>
      <x:c r="G37" s="11" t="str">
        <x:v>Engineering / Data owner</x:v>
      </x:c>
      <x:c r="H37" s="11" t="str">
        <x:v>Deleting a referenced asset cannot orphan a retained network/plan.</x:v>
      </x:c>
      <x:c r="I37" s="11" t="str">
        <x:v>D6</x:v>
      </x:c>
      <x:c r="J37" s="13" t="str">
        <x:v>Open</x:v>
      </x:c>
      <x:c r="K37" s="13" t="str"/>
      <x:c r="L37" s="13" t="str"/>
    </x:row>
    <x:row r="38" ht="51" customHeight="1">
      <x:c r="A38" s="3" t="str">
        <x:v>D14</x:v>
      </x:c>
      <x:c r="B38" s="3" t="str">
        <x:v>Development required</x:v>
      </x:c>
      <x:c r="C38" s="3" t="str">
        <x:v>Before production use</x:v>
      </x:c>
      <x:c r="D38" s="3" t="str">
        <x:v>Legacy decision paths</x:v>
      </x:c>
      <x:c r="E38" s="3" t="str">
        <x:v>Per-row Desktop approval endpoints coexist with plan publication.</x:v>
      </x:c>
      <x:c r="F38" s="3" t="str">
        <x:v>Apply identical permissions and lineage rules or disable conflicting paths.</x:v>
      </x:c>
      <x:c r="G38" s="3" t="str">
        <x:v>Engineering</x:v>
      </x:c>
      <x:c r="H38" s="3" t="str">
        <x:v>All decision writes obey the same approved policy.</x:v>
      </x:c>
      <x:c r="I38" s="3" t="str">
        <x:v>D1,D4</x:v>
      </x:c>
      <x:c r="J38" s="13" t="str">
        <x:v>Open</x:v>
      </x:c>
      <x:c r="K38" s="13" t="str"/>
      <x:c r="L38" s="13" t="str"/>
    </x:row>
    <x:row r="39" ht="51" customHeight="1">
      <x:c r="A39" s="11" t="str">
        <x:v>D15</x:v>
      </x:c>
      <x:c r="B39" s="11" t="str">
        <x:v>Development required</x:v>
      </x:c>
      <x:c r="C39" s="11" t="str">
        <x:v>Before production use</x:v>
      </x:c>
      <x:c r="D39" s="11" t="str">
        <x:v>Release quality gates</x:v>
      </x:c>
      <x:c r="E39" s="11" t="str">
        <x:v>Build scripts exist; ignored type errors observed in Production config.</x:v>
      </x:c>
      <x:c r="F39" s="11" t="str">
        <x:v>Require explicit type checks/tests and reproducible release evidence.</x:v>
      </x:c>
      <x:c r="G39" s="11" t="str">
        <x:v>Engineering / Release owner</x:v>
      </x:c>
      <x:c r="H39" s="11" t="str">
        <x:v>Recorded release passes gates and rollback rehearsal.</x:v>
      </x:c>
      <x:c r="I39" s="11" t="str">
        <x:v>R1,S1</x:v>
      </x:c>
      <x:c r="J39" s="13" t="str">
        <x:v>Open</x:v>
      </x:c>
      <x:c r="K39" s="13" t="str"/>
      <x:c r="L39" s="13" t="str"/>
    </x:row>
  </x:sheetData>
  <x:conditionalFormatting sqref="B8:B39">
    <x:cfRule type="containsText" dxfId="0" priority="1" operator="containsText" text="Development required"/>
    <x:cfRule type="containsText" dxfId="1" priority="2" operator="containsText" text="Configuration required"/>
  </x:conditionalFormatting>
  <x:dataValidations count="2">
    <x:dataValidation type="list" sqref="B8:B39">
      <x:formula1>"Current capability,Configuration required,Development required"</x:formula1>
    </x:dataValidation>
    <x:dataValidation type="list" sqref="J8:J39">
      <x:formula1>"Open,In progress,Verified,Accepted"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c25b7b910c45c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1.25" hidden="0" customWidth="1"/>
    <x:col min="2" max="2" width="43.75" hidden="0" customWidth="1"/>
    <x:col min="3" max="3" width="19.3799991607666" hidden="0" customWidth="1"/>
    <x:col min="4" max="4" width="18.75" hidden="0" customWidth="1"/>
    <x:col min="5" max="5" width="33.75" hidden="0" customWidth="1"/>
    <x:col min="6" max="6" width="22.5" hidden="0" customWidth="1"/>
    <x:col min="7" max="7" width="12.5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</x:row>
    <x:row r="2" ht="22.5" customHeight="1">
      <x:c r="A2" s="5" t="str">
        <x:v>Portal role-and-permission matrix</x:v>
      </x:c>
      <x:c r="B2" s="3"/>
      <x:c r="C2" s="3"/>
      <x:c r="D2" s="3"/>
      <x:c r="E2" s="3"/>
      <x:c r="F2" s="3"/>
      <x:c r="G2" s="3"/>
    </x:row>
    <x:row r="3" ht="17.25" customHeight="1">
      <x:c r="A3" s="6" t="str">
        <x:v>29 September 2026. Source-level helper behaviour, not proof that every endpoint enforces it. Portal approvals do not grant Desktop publish permission.</x:v>
      </x:c>
      <x:c r="B3" s="3"/>
      <x:c r="C3" s="3"/>
      <x:c r="D3" s="3"/>
      <x:c r="E3" s="3"/>
      <x:c r="F3" s="3"/>
      <x:c r="G3" s="3"/>
    </x:row>
    <x:row r="4" ht="18" customHeight="1">
      <x:c r="A4" s="3"/>
      <x:c r="B4" s="3"/>
      <x:c r="C4" s="3"/>
      <x:c r="D4" s="3"/>
      <x:c r="E4" s="3"/>
      <x:c r="F4" s="3"/>
      <x:c r="G4" s="3"/>
    </x:row>
    <x:row r="5" ht="18" customHeight="1">
      <x:c r="A5" s="3"/>
      <x:c r="B5" s="3"/>
      <x:c r="C5" s="3"/>
      <x:c r="D5" s="3"/>
      <x:c r="E5" s="3"/>
      <x:c r="F5" s="3"/>
      <x:c r="G5" s="3"/>
    </x:row>
    <x:row r="6" ht="30" customHeight="1">
      <x:c r="A6" s="10" t="str">
        <x:v>Role</x:v>
      </x:c>
      <x:c r="B6" s="10" t="str">
        <x:v>View / scope</x:v>
      </x:c>
      <x:c r="C6" s="10" t="str">
        <x:v>Edit / submit</x:v>
      </x:c>
      <x:c r="D6" s="10" t="str">
        <x:v>Approve / reject</x:v>
      </x:c>
      <x:c r="E6" s="10" t="str">
        <x:v>Manage users</x:v>
      </x:c>
      <x:c r="F6" s="10" t="str">
        <x:v>View audit</x:v>
      </x:c>
      <x:c r="G6" s="10" t="str">
        <x:v>Source IDs</x:v>
      </x:c>
    </x:row>
    <x:row r="7" ht="43.5" customHeight="1">
      <x:c r="A7" s="3" t="str">
        <x:v>GM / Head</x:v>
      </x:c>
      <x:c r="B7" s="3" t="str">
        <x:v>Entity/global*</x:v>
      </x:c>
      <x:c r="C7" s="3" t="str">
        <x:v>Yes, scoped</x:v>
      </x:c>
      <x:c r="D7" s="3" t="str">
        <x:v>Yes</x:v>
      </x:c>
      <x:c r="E7" s="3" t="str">
        <x:v>All role types*</x:v>
      </x:c>
      <x:c r="F7" s="3" t="str">
        <x:v>Yes, hierarchy</x:v>
      </x:c>
      <x:c r="G7" s="3" t="str">
        <x:v>P1,P3</x:v>
      </x:c>
    </x:row>
    <x:row r="8" ht="43.5" customHeight="1">
      <x:c r="A8" s="11" t="str">
        <x:v>Regional Head</x:v>
      </x:c>
      <x:c r="B8" s="11" t="str">
        <x:v>Assigned region</x:v>
      </x:c>
      <x:c r="C8" s="11" t="str">
        <x:v>Yes, scoped</x:v>
      </x:c>
      <x:c r="D8" s="11" t="str">
        <x:v>No</x:v>
      </x:c>
      <x:c r="E8" s="11" t="str">
        <x:v>City / asset / read-only</x:v>
      </x:c>
      <x:c r="F8" s="11" t="str">
        <x:v>Yes, hierarchy</x:v>
      </x:c>
      <x:c r="G8" s="11" t="str">
        <x:v>P1</x:v>
      </x:c>
    </x:row>
    <x:row r="9" ht="43.5" customHeight="1">
      <x:c r="A9" s="3" t="str">
        <x:v>City / Governorate Head</x:v>
      </x:c>
      <x:c r="B9" s="3" t="str">
        <x:v>Assigned city/governorate</x:v>
      </x:c>
      <x:c r="C9" s="3" t="str">
        <x:v>Yes, scoped</x:v>
      </x:c>
      <x:c r="D9" s="3" t="str">
        <x:v>No</x:v>
      </x:c>
      <x:c r="E9" s="3" t="str">
        <x:v>Asset manager / read-only</x:v>
      </x:c>
      <x:c r="F9" s="3" t="str">
        <x:v>Yes, hierarchy</x:v>
      </x:c>
      <x:c r="G9" s="3" t="str">
        <x:v>P1</x:v>
      </x:c>
    </x:row>
    <x:row r="10" ht="43.5" customHeight="1">
      <x:c r="A10" s="11" t="str">
        <x:v>Asset manager (plant_manager)</x:v>
      </x:c>
      <x:c r="B10" s="11" t="str">
        <x:v>Assigned plants/city gates*</x:v>
      </x:c>
      <x:c r="C10" s="11" t="str">
        <x:v>Yes, scoped</x:v>
      </x:c>
      <x:c r="D10" s="11" t="str">
        <x:v>No</x:v>
      </x:c>
      <x:c r="E10" s="11" t="str">
        <x:v>No</x:v>
      </x:c>
      <x:c r="F10" s="11" t="str">
        <x:v>No</x:v>
      </x:c>
      <x:c r="G10" s="11" t="str">
        <x:v>P1</x:v>
      </x:c>
    </x:row>
    <x:row r="11" ht="43.5" customHeight="1">
      <x:c r="A11" s="3" t="str">
        <x:v>Read-only stakeholder</x:v>
      </x:c>
      <x:c r="B11" s="3" t="str">
        <x:v>Assigned scope*</x:v>
      </x:c>
      <x:c r="C11" s="3" t="str">
        <x:v>No</x:v>
      </x:c>
      <x:c r="D11" s="3" t="str">
        <x:v>No</x:v>
      </x:c>
      <x:c r="E11" s="3" t="str">
        <x:v>No</x:v>
      </x:c>
      <x:c r="F11" s="3" t="str">
        <x:v>No</x:v>
      </x:c>
      <x:c r="G11" s="3" t="str">
        <x:v>P1</x:v>
      </x:c>
    </x:row>
    <x:row r="12" ht="43.5" customHeight="1">
      <x:c r="A12" s="11" t="str">
        <x:v>Dashboard Approver</x:v>
      </x:c>
      <x:c r="B12" s="11" t="str">
        <x:v>Approvals view; no direct asset scope</x:v>
      </x:c>
      <x:c r="C12" s="11" t="str">
        <x:v>No</x:v>
      </x:c>
      <x:c r="D12" s="11" t="str">
        <x:v>Yes</x:v>
      </x:c>
      <x:c r="E12" s="11" t="str">
        <x:v>No</x:v>
      </x:c>
      <x:c r="F12" s="11" t="str">
        <x:v>No</x:v>
      </x:c>
      <x:c r="G12" s="11" t="str">
        <x:v>P1,P3</x:v>
      </x:c>
    </x:row>
    <x:row r="17">
      <x:c r="A17" s="15" t="str">
        <x:v>Scope exceptions and Desktop responsibilities</x:v>
      </x:c>
    </x:row>
    <x:row r="19">
      <x:c r="A19" s="17" t="str">
        <x:v>Area</x:v>
      </x:c>
      <x:c r="B19" s="17" t="str">
        <x:v>Finding / boundary</x:v>
      </x:c>
      <x:c r="C19" s="17" t="str">
        <x:v>Evidence status</x:v>
      </x:c>
      <x:c r="D19" s="17" t="str">
        <x:v>Source IDs</x:v>
      </x:c>
    </x:row>
    <x:row r="20" ht="105" customHeight="1">
      <x:c r="A20" s="3" t="str">
        <x:v>Production GM</x:v>
      </x:c>
      <x:c r="B20" s="3" t="str">
        <x:v>Entity restriction applies when scope.entity is set. Without it the helper returns all plants.</x:v>
      </x:c>
      <x:c r="C20" s="3" t="str">
        <x:v>Current source</x:v>
      </x:c>
      <x:c r="D20" s="3" t="str">
        <x:v>P1</x:v>
      </x:c>
    </x:row>
    <x:row r="21" ht="105" customHeight="1">
      <x:c r="A21" s="3" t="str">
        <x:v>Demand / Transmission / Economics GM</x:v>
      </x:c>
      <x:c r="B21" s="3" t="str">
        <x:v>The inspected getAccessiblePlants helper returns all plants. Do not describe identical entity isolation across portals.</x:v>
      </x:c>
      <x:c r="C21" s="3" t="str">
        <x:v>Current source</x:v>
      </x:c>
      <x:c r="D21" s="3" t="str">
        <x:v>P1</x:v>
      </x:c>
    </x:row>
    <x:row r="22" ht="105" customHeight="1">
      <x:c r="A22" s="3" t="str">
        <x:v>Transmission / Economics non-plant assets</x:v>
      </x:c>
      <x:c r="B22" s="3" t="str">
        <x:v>getAccessibleAssets can return all assets for plant_manager/read_only when no region/city scope is set. Assignment-level isolation needs endpoint verification.</x:v>
      </x:c>
      <x:c r="C22" s="3" t="str">
        <x:v>Current source</x:v>
      </x:c>
      <x:c r="D22" s="3" t="str">
        <x:v>P1</x:v>
      </x:c>
    </x:row>
    <x:row r="23" ht="105" customHeight="1">
      <x:c r="A23" s="3" t="str">
        <x:v>Approval API boundary</x:v>
      </x:c>
      <x:c r="B23" s="3" t="str">
        <x:v>Role gate exists. The inspected status routes retrieve records by ID without an asset-scope check or a distinct-submitter check.</x:v>
      </x:c>
      <x:c r="C23" s="3" t="str">
        <x:v>Development required</x:v>
      </x:c>
      <x:c r="D23" s="3" t="str">
        <x:v>P3</x:v>
      </x:c>
    </x:row>
    <x:row r="24" ht="105" customHeight="1">
      <x:c r="A24" s="3" t="str">
        <x:v>User creation</x:v>
      </x:c>
      <x:c r="B24" s="3" t="str">
        <x:v>GM helper permits any target role, but getAllowedRolesToCreate omits dashboard_approval. Confirm provisioning path and endpoint checks.</x:v>
      </x:c>
      <x:c r="C24" s="3" t="str">
        <x:v>Validation required</x:v>
      </x:c>
      <x:c r="D24" s="3" t="str">
        <x:v>P1</x:v>
      </x:c>
    </x:row>
    <x:row r="25" ht="105" customHeight="1">
      <x:c r="A25" s="3" t="str">
        <x:v>Desktop planner / publisher</x:v>
      </x:c>
      <x:c r="B25" s="3" t="str">
        <x:v>Planning functions exist, but the inspected Express API does not authenticate callers or enforce role-based permissions. Planner/publisher separation is proposed.</x:v>
      </x:c>
      <x:c r="C25" s="3" t="str">
        <x:v>Development required</x:v>
      </x:c>
      <x:c r="D25" s="3" t="str">
        <x:v>D1,D3</x:v>
      </x:c>
    </x:row>
    <x:row r="26" ht="105" customHeight="1">
      <x:c r="A26" s="3" t="str">
        <x:v>Platform administrator</x:v>
      </x:c>
      <x:c r="B26" s="3" t="str">
        <x:v>Hosting, backup and database administration are deployment responsibilities. Portal GM is not a server administrator role.</x:v>
      </x:c>
      <x:c r="C26" s="3" t="str">
        <x:v>Responsibility to agree</x:v>
      </x:c>
      <x:c r="D26" s="3" t="str">
        <x:v>R1</x:v>
      </x:c>
    </x:row>
  </x:sheetData>
  <x:pageMargins left="0.7" right="0.7" top="0.75" bottom="0.75" header="0.3" footer="0.3"/>
  <x:tableParts count="1">
    <x:tablePart xmlns:r="http://schemas.openxmlformats.org/officeDocument/2006/relationships" r:id="Red7ef5778c544dd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.75" hidden="0" customWidth="1"/>
    <x:col min="2" max="2" width="31.8799991607666" hidden="0" customWidth="1"/>
    <x:col min="3" max="3" width="35" hidden="0" customWidth="1"/>
    <x:col min="4" max="4" width="43.75" hidden="0" customWidth="1"/>
    <x:col min="5" max="5" width="47.5" hidden="0" customWidth="1"/>
    <x:col min="6" max="6" width="13.75" hidden="0" customWidth="1"/>
  </x:cols>
  <x:sheetData>
    <x:row r="1" ht="10.5" customHeight="1">
      <x:c r="A1" s="3"/>
      <x:c r="B1" s="3"/>
      <x:c r="C1" s="3"/>
      <x:c r="D1" s="3"/>
      <x:c r="E1" s="3"/>
      <x:c r="F1" s="3"/>
    </x:row>
    <x:row r="2" ht="22.5" customHeight="1">
      <x:c r="A2" s="5" t="str">
        <x:v>Data ownership and planning inputs</x:v>
      </x:c>
      <x:c r="B2" s="3"/>
      <x:c r="C2" s="3"/>
      <x:c r="D2" s="3"/>
      <x:c r="E2" s="3"/>
      <x:c r="F2" s="3"/>
    </x:row>
    <x:row r="3" ht="17.25" customHeight="1">
      <x:c r="A3" s="6" t="str">
        <x:v>Business stewards below are proposed responsibilities. Physical persistence and consumer behaviour come from current source.</x:v>
      </x:c>
      <x:c r="B3" s="3"/>
      <x:c r="C3" s="3"/>
      <x:c r="D3" s="3"/>
      <x:c r="E3" s="3"/>
      <x:c r="F3" s="3"/>
    </x:row>
    <x:row r="4" ht="18" customHeight="1">
      <x:c r="A4" s="3"/>
      <x:c r="B4" s="3"/>
      <x:c r="C4" s="3"/>
      <x:c r="D4" s="3"/>
      <x:c r="E4" s="3"/>
      <x:c r="F4" s="3"/>
    </x:row>
    <x:row r="5" ht="18" customHeight="1">
      <x:c r="A5" s="3"/>
      <x:c r="B5" s="3"/>
      <x:c r="C5" s="3"/>
      <x:c r="D5" s="3"/>
      <x:c r="E5" s="3"/>
      <x:c r="F5" s="3"/>
    </x:row>
    <x:row r="6" ht="30" customHeight="1">
      <x:c r="A6" s="10" t="str">
        <x:v>Data domain</x:v>
      </x:c>
      <x:c r="B6" s="10" t="str">
        <x:v>Business steward / author</x:v>
      </x:c>
      <x:c r="C6" s="10" t="str">
        <x:v>Persistence</x:v>
      </x:c>
      <x:c r="D6" s="10" t="str">
        <x:v>How the platform uses it</x:v>
      </x:c>
      <x:c r="E6" s="10" t="str">
        <x:v>Ownership / validation boundary</x:v>
      </x:c>
      <x:c r="F6" s="10" t="str">
        <x:v>Source IDs</x:v>
      </x:c>
    </x:row>
    <x:row r="7" ht="51" customHeight="1">
      <x:c r="A7" s="3" t="str">
        <x:v>Assets and identifiers</x:v>
      </x:c>
      <x:c r="B7" s="3" t="str">
        <x:v>Asset steward via Desktop registry</x:v>
      </x:c>
      <x:c r="C7" s="3" t="str">
        <x:v>plants, pumps, cityGates, tanks and other asset collections</x:v>
      </x:c>
      <x:c r="D7" s="3" t="str">
        <x:v>All applications reference stable IDs; display names are not identifiers.</x:v>
      </x:c>
      <x:c r="E7" s="3" t="str">
        <x:v>Portal asset routes also exist. Agree one steward and protect referenced deletions.</x:v>
      </x:c>
      <x:c r="F7" s="3" t="str">
        <x:v>D6</x:v>
      </x:c>
    </x:row>
    <x:row r="8" ht="51" customHeight="1">
      <x:c r="A8" s="11" t="str">
        <x:v>Network topology and systems</x:v>
      </x:c>
      <x:c r="B8" s="11" t="str">
        <x:v>Dispatch planner via Desktop</x:v>
      </x:c>
      <x:c r="C8" s="11" t="str">
        <x:v>networks, transmissionSystems, transmissionLines</x:v>
      </x:c>
      <x:c r="D8" s="11" t="str">
        <x:v>Simulation uses saved graph; Transmission displays Desktop-authored systems/lines.</x:v>
      </x:c>
      <x:c r="E8" s="11" t="str">
        <x:v>Saving a network/system is separate from publishing a dispatch plan.</x:v>
      </x:c>
      <x:c r="F8" s="11" t="str">
        <x:v>D6</x:v>
      </x:c>
    </x:row>
    <x:row r="9" ht="51" customHeight="1">
      <x:c r="A9" s="3" t="str">
        <x:v>Production operating records</x:v>
      </x:c>
      <x:c r="B9" s="3" t="str">
        <x:v>Production team</x:v>
      </x:c>
      <x:c r="C9" s="3" t="str">
        <x:v>productionInputs; qualityRecords; contractedCapacity</x:v>
      </x:c>
      <x:c r="D9" s="3" t="str">
        <x:v>Actual production and available-capacity context support planning/reconciliation.</x:v>
      </x:c>
      <x:c r="E9" s="3" t="str">
        <x:v>Publish owns required_m3 planning allocation; actual values remain operational input.</x:v>
      </x:c>
      <x:c r="F9" s="3" t="str">
        <x:v>D4,P4</x:v>
      </x:c>
    </x:row>
    <x:row r="10" ht="51" customHeight="1">
      <x:c r="A10" s="11" t="str">
        <x:v>Demand and actual receipts</x:v>
      </x:c>
      <x:c r="B10" s="11" t="str">
        <x:v>Demand team</x:v>
      </x:c>
      <x:c r="C10" s="11" t="str">
        <x:v>demandInputs, keyed by plant_id for a city gate and date</x:v>
      </x:c>
      <x:c r="D10" s="11" t="str">
        <x:v>Approved required demand feeds the run; received_m3 records actual receipts.</x:v>
      </x:c>
      <x:c r="E10" s="11" t="str">
        <x:v>required_m3, desktop_approved_m3 and received_m3 have different meanings.</x:v>
      </x:c>
      <x:c r="F10" s="11" t="str">
        <x:v>D4,D5,P4</x:v>
      </x:c>
    </x:row>
    <x:row r="11" ht="51" customHeight="1">
      <x:c r="A11" s="3" t="str">
        <x:v>Maintenance and outages</x:v>
      </x:c>
      <x:c r="B11" s="3" t="str">
        <x:v>Relevant asset operations team</x:v>
      </x:c>
      <x:c r="C11" s="3" t="str">
        <x:v>maintenanceRecords and outages</x:v>
      </x:c>
      <x:c r="D11" s="3" t="str">
        <x:v>Availability uses eligible maintenance and approved outages.</x:v>
      </x:c>
      <x:c r="E11" s="3" t="str">
        <x:v>Maintenance eligibility is not identical to demand approval. Dates are not rescheduled by publication.</x:v>
      </x:c>
      <x:c r="F11" s="3" t="str">
        <x:v>D4,D5</x:v>
      </x:c>
    </x:row>
    <x:row r="12" ht="51" customHeight="1">
      <x:c r="A12" s="11" t="str">
        <x:v>Transmission water movement</x:v>
      </x:c>
      <x:c r="B12" s="11" t="str">
        <x:v>Transmission team</x:v>
      </x:c>
      <x:c r="C12" s="11" t="str">
        <x:v>receivedRecords and deliveredRecords</x:v>
      </x:c>
      <x:c r="D12" s="11" t="str">
        <x:v>Operational receipt/delivery reconciliation.</x:v>
      </x:c>
      <x:c r="E12" s="11" t="str">
        <x:v>Dispatch publication does not write these actual movement records.</x:v>
      </x:c>
      <x:c r="F12" s="11" t="str">
        <x:v>D4,R1</x:v>
      </x:c>
    </x:row>
    <x:row r="13" ht="51" customHeight="1">
      <x:c r="A13" s="3" t="str">
        <x:v>Cost assumptions</x:v>
      </x:c>
      <x:c r="B13" s="3" t="str">
        <x:v>Economics team and approvers</x:v>
      </x:c>
      <x:c r="C13" s="3" t="str">
        <x:v>financialEntries; asset specifications as fallback</x:v>
      </x:c>
      <x:c r="D13" s="3" t="str">
        <x:v>Latest applicable approved plant variable O&amp;M sets dispatch cost.</x:v>
      </x:c>
      <x:c r="E13" s="3" t="str">
        <x:v>Fallback to plant specification, then 2.10 SAR/m3. Agree fallback policy.</x:v>
      </x:c>
      <x:c r="F13" s="3" t="str">
        <x:v>D5,P8</x:v>
      </x:c>
    </x:row>
    <x:row r="14" ht="51" customHeight="1">
      <x:c r="A14" s="11" t="str">
        <x:v>Scenario configuration</x:v>
      </x:c>
      <x:c r="B14" s="11" t="str">
        <x:v>Dispatch planner</x:v>
      </x:c>
      <x:c r="C14" s="11" t="str">
        <x:v>simulationConfigs</x:v>
      </x:c>
      <x:c r="D14" s="11" t="str">
        <x:v>Network, dates, overrides and storage policy define a run.</x:v>
      </x:c>
      <x:c r="E14" s="11" t="str">
        <x:v>Run-only overrides can differ from saved settings.</x:v>
      </x:c>
      <x:c r="F14" s="11" t="str">
        <x:v>D3</x:v>
      </x:c>
    </x:row>
    <x:row r="15" ht="51" customHeight="1">
      <x:c r="A15" s="3" t="str">
        <x:v>Results and reviewed decisions</x:v>
      </x:c>
      <x:c r="B15" s="3" t="str">
        <x:v>Dispatch planner; publisher role proposed</x:v>
      </x:c>
      <x:c r="C15" s="3" t="str">
        <x:v>dispatchPlans</x:v>
      </x:c>
      <x:c r="D15" s="3" t="str">
        <x:v>Run creates a draft. Supported decision edits precede explicit publication.</x:v>
      </x:c>
      <x:c r="E15" s="3" t="str">
        <x:v>Manual decision patches do not recalculate hydraulic/network flow or plant allocations.</x:v>
      </x:c>
      <x:c r="F15" s="3" t="str">
        <x:v>D3,D4</x:v>
      </x:c>
    </x:row>
    <x:row r="16" ht="51" customHeight="1">
      <x:c r="A16" s="11" t="str">
        <x:v>Identity and audit records</x:v>
      </x:c>
      <x:c r="B16" s="11" t="str">
        <x:v>Application administrator / security owner</x:v>
      </x:c>
      <x:c r="C16" s="11" t="str">
        <x:v>users, auditLogs and notifications</x:v>
      </x:c>
      <x:c r="D16" s="11" t="str">
        <x:v>Portal login, scope, approval history and notifications.</x:v>
      </x:c>
      <x:c r="E16" s="11" t="str">
        <x:v>Unified identity lifecycle, immutable audit retention and complete Desktop actor logging need work.</x:v>
      </x:c>
      <x:c r="F16" s="11" t="str">
        <x:v>P1,P2,P3,P7</x:v>
      </x:c>
    </x:row>
  </x:sheetData>
  <x:pageMargins left="0.7" right="0.7" top="0.75" bottom="0.75" header="0.3" footer="0.3"/>
  <x:tableParts count="1">
    <x:tablePart xmlns:r="http://schemas.openxmlformats.org/officeDocument/2006/relationships" r:id="R9c2091a2b2b84b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2.5" hidden="0" customWidth="1"/>
    <x:col min="2" max="2" width="32.5" hidden="0" customWidth="1"/>
    <x:col min="3" max="3" width="28.75" hidden="0" customWidth="1"/>
    <x:col min="4" max="4" width="46.25" hidden="0" customWidth="1"/>
    <x:col min="5" max="5" width="41.25" hidden="0" customWidth="1"/>
    <x:col min="6" max="6" width="46.25" hidden="0" customWidth="1"/>
    <x:col min="7" max="7" width="12.5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</x:row>
    <x:row r="2" ht="22.5" customHeight="1">
      <x:c r="A2" s="5" t="str">
        <x:v>Dispatch publication mapping</x:v>
      </x:c>
      <x:c r="B2" s="3"/>
      <x:c r="C2" s="3"/>
      <x:c r="D2" s="3"/>
      <x:c r="E2" s="3"/>
      <x:c r="F2" s="3"/>
      <x:c r="G2" s="3"/>
    </x:row>
    <x:row r="3" ht="17.25" customHeight="1">
      <x:c r="A3" s="6" t="str">
        <x:v>Explicit Publish changes planning fields. It does not approve portal inputs, rewrite actuals, or issue equipment-control commands.</x:v>
      </x:c>
      <x:c r="B3" s="3"/>
      <x:c r="C3" s="3"/>
      <x:c r="D3" s="3"/>
      <x:c r="E3" s="3"/>
      <x:c r="F3" s="3"/>
      <x:c r="G3" s="3"/>
    </x:row>
    <x:row r="4" ht="18" customHeight="1">
      <x:c r="A4" s="3"/>
      <x:c r="B4" s="3"/>
      <x:c r="C4" s="3"/>
      <x:c r="D4" s="3"/>
      <x:c r="E4" s="3"/>
      <x:c r="F4" s="3"/>
      <x:c r="G4" s="3"/>
    </x:row>
    <x:row r="5" ht="18" customHeight="1">
      <x:c r="A5" s="3"/>
      <x:c r="B5" s="3"/>
      <x:c r="C5" s="3"/>
      <x:c r="D5" s="3"/>
      <x:c r="E5" s="3"/>
      <x:c r="F5" s="3"/>
      <x:c r="G5" s="3"/>
    </x:row>
    <x:row r="6" ht="30" customHeight="1">
      <x:c r="A6" s="10" t="str">
        <x:v>Output</x:v>
      </x:c>
      <x:c r="B6" s="10" t="str">
        <x:v>Source -&gt; target</x:v>
      </x:c>
      <x:c r="C6" s="10" t="str">
        <x:v>Record key / operation</x:v>
      </x:c>
      <x:c r="D6" s="10" t="str">
        <x:v>Fields written</x:v>
      </x:c>
      <x:c r="E6" s="10" t="str">
        <x:v>Fields preserved / behaviour</x:v>
      </x:c>
      <x:c r="F6" s="10" t="str">
        <x:v>Where users see it</x:v>
      </x:c>
      <x:c r="G6" s="10" t="str">
        <x:v>Source IDs</x:v>
      </x:c>
    </x:row>
    <x:row r="7" ht="51" customHeight="1">
      <x:c r="A7" s="3" t="str">
        <x:v>Production allocation</x:v>
      </x:c>
      <x:c r="B7" s="3" t="str">
        <x:v>plantAllocations -&gt; productionInputs</x:v>
      </x:c>
      <x:c r="C7" s="3" t="str">
        <x:v>plant_id + date; upsert</x:v>
      </x:c>
      <x:c r="D7" s="3" t="str">
        <x:v>required_m3; data_source=desktop_simulation; decision status; dispatch_plan_id</x:v>
      </x:c>
      <x:c r="E7" s="3" t="str">
        <x:v>Preserves existing actual/approval fields. New row starts draft.</x:v>
      </x:c>
      <x:c r="F7" s="3" t="str">
        <x:v>Production requested allocation uses required_m3.</x:v>
      </x:c>
      <x:c r="G7" s="3" t="str">
        <x:v>D4,P4</x:v>
      </x:c>
    </x:row>
    <x:row r="8" ht="66" customHeight="1">
      <x:c r="A8" s="11" t="str">
        <x:v>Demand decision</x:v>
      </x:c>
      <x:c r="B8" s="11" t="str">
        <x:v>demandVerdicts -&gt; demandInputs</x:v>
      </x:c>
      <x:c r="C8" s="11" t="str">
        <x:v>plant_id + date; update only</x:v>
      </x:c>
      <x:c r="D8" s="11" t="str">
        <x:v>desktop_approved_m3; decision/recommendation/status/comment fields; plan ID</x:v>
      </x:c>
      <x:c r="E8" s="11" t="str">
        <x:v>Does not replace required_m3 or actual receipts. Missing target is not inserted.</x:v>
      </x:c>
      <x:c r="F8" s="11" t="str">
        <x:v>Inspected daily table does not use desktop_approved_m3. Review in Desktop until UI mapping is validated.</x:v>
      </x:c>
      <x:c r="G8" s="11" t="str">
        <x:v>D4,P4</x:v>
      </x:c>
    </x:row>
    <x:row r="9" ht="51" customHeight="1">
      <x:c r="A9" s="3" t="str">
        <x:v>Maintenance decision</x:v>
      </x:c>
      <x:c r="B9" s="3" t="str">
        <x:v>maintenanceVerdicts -&gt; maintenanceRecords</x:v>
      </x:c>
      <x:c r="C9" s="3" t="str">
        <x:v>record id or ObjectId; update only</x:v>
      </x:c>
      <x:c r="D9" s="3" t="str">
        <x:v>desktop_approval_status; decision/recommendation/comments; approved timestamp; plan ID</x:v>
      </x:c>
      <x:c r="E9" s="3" t="str">
        <x:v>Does not rewrite maintenance start/end dates or portal submission status.</x:v>
      </x:c>
      <x:c r="F9" s="3" t="str">
        <x:v>Desktop approval metadata is available to consuming views; validate each portal surface.</x:v>
      </x:c>
      <x:c r="G9" s="3" t="str">
        <x:v>D4</x:v>
      </x:c>
    </x:row>
    <x:row r="10" ht="51" customHeight="1">
      <x:c r="A10" s="11" t="str">
        <x:v>Plan publication state</x:v>
      </x:c>
      <x:c r="B10" s="11" t="str">
        <x:v>dispatchPlans</x:v>
      </x:c>
      <x:c r="C10" s="11" t="str">
        <x:v>plan id</x:v>
      </x:c>
      <x:c r="D10" s="11" t="str">
        <x:v>status=published; publishedAt; publishedCounts</x:v>
      </x:c>
      <x:c r="E10" s="11" t="str">
        <x:v>Marked after the three collection writes complete.</x:v>
      </x:c>
      <x:c r="F10" s="11" t="str">
        <x:v>Sequential repeat on a published plan is rejected; simultaneous publication is not locked.</x:v>
      </x:c>
      <x:c r="G10" s="11" t="str">
        <x:v>D3,D4</x:v>
      </x:c>
    </x:row>
    <x:row r="11" ht="51" customHeight="1">
      <x:c r="A11" s="3" t="str">
        <x:v>Transmission actuals</x:v>
      </x:c>
      <x:c r="B11" s="3" t="str">
        <x:v>No dispatch write</x:v>
      </x:c>
      <x:c r="C11" s="3" t="str">
        <x:v>Not applicable</x:v>
      </x:c>
      <x:c r="D11" s="3" t="str">
        <x:v>No receipt/delivery actual writes</x:v>
      </x:c>
      <x:c r="E11" s="3" t="str">
        <x:v>receivedRecords and deliveredRecords stay operationally owned.</x:v>
      </x:c>
      <x:c r="F11" s="3" t="str">
        <x:v>Systems display follows saved registry/network data, not dispatch publication.</x:v>
      </x:c>
      <x:c r="G11" s="3" t="str">
        <x:v>D4,D6</x:v>
      </x:c>
    </x:row>
    <x:row r="12" ht="51" customHeight="1">
      <x:c r="A12" s="11" t="str">
        <x:v>Economics costs</x:v>
      </x:c>
      <x:c r="B12" s="11" t="str">
        <x:v>No dispatch write</x:v>
      </x:c>
      <x:c r="C12" s="11" t="str">
        <x:v>Not applicable</x:v>
      </x:c>
      <x:c r="D12" s="11" t="str">
        <x:v>No financialEntries writes</x:v>
      </x:c>
      <x:c r="E12" s="11" t="str">
        <x:v>Approved economic snapshots remain unchanged.</x:v>
      </x:c>
      <x:c r="F12" s="11" t="str">
        <x:v>Financial dashboards may read operating data; publishing is not cost approval.</x:v>
      </x:c>
      <x:c r="G12" s="11" t="str">
        <x:v>D4,P8</x:v>
      </x:c>
    </x:row>
  </x:sheetData>
  <x:pageMargins left="0.7" right="0.7" top="0.75" bottom="0.75" header="0.3" footer="0.3"/>
  <x:tableParts count="1">
    <x:tablePart xmlns:r="http://schemas.openxmlformats.org/officeDocument/2006/relationships" r:id="Re1ff01a1c16e4f1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.6299991607666" hidden="0" customWidth="1"/>
    <x:col min="2" max="2" width="41.25" hidden="0" customWidth="1"/>
    <x:col min="3" max="3" width="22.5" hidden="0" customWidth="1"/>
    <x:col min="4" max="4" width="35.630001068115234" hidden="0" customWidth="1"/>
    <x:col min="5" max="5" width="50.630001068115234" hidden="0" customWidth="1"/>
    <x:col min="6" max="6" width="23.75" hidden="0" customWidth="1"/>
    <x:col min="7" max="7" width="12.5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</x:row>
    <x:row r="2" ht="22.5" customHeight="1">
      <x:c r="A2" s="5" t="str">
        <x:v>Integration inventory</x:v>
      </x:c>
      <x:c r="B2" s="3"/>
      <x:c r="C2" s="3"/>
      <x:c r="D2" s="3"/>
      <x:c r="E2" s="3"/>
      <x:c r="F2" s="3"/>
      <x:c r="G2" s="3"/>
    </x:row>
    <x:row r="3" ht="17.25" customHeight="1">
      <x:c r="A3" s="6" t="str">
        <x:v>Source presence does not establish a live integration. External systems and acceptance scope require client agreement.</x:v>
      </x:c>
      <x:c r="B3" s="3"/>
      <x:c r="C3" s="3"/>
      <x:c r="D3" s="3"/>
      <x:c r="E3" s="3"/>
      <x:c r="F3" s="3"/>
      <x:c r="G3" s="3"/>
    </x:row>
    <x:row r="4" ht="18" customHeight="1">
      <x:c r="A4" s="3"/>
      <x:c r="B4" s="3"/>
      <x:c r="C4" s="3"/>
      <x:c r="D4" s="3"/>
      <x:c r="E4" s="3"/>
      <x:c r="F4" s="3"/>
      <x:c r="G4" s="3"/>
    </x:row>
    <x:row r="5" ht="18" customHeight="1">
      <x:c r="A5" s="3"/>
      <x:c r="B5" s="3"/>
      <x:c r="C5" s="3"/>
      <x:c r="D5" s="3"/>
      <x:c r="E5" s="3"/>
      <x:c r="F5" s="3"/>
      <x:c r="G5" s="3"/>
    </x:row>
    <x:row r="6" ht="30" customHeight="1">
      <x:c r="A6" s="10" t="str">
        <x:v>Interface</x:v>
      </x:c>
      <x:c r="B6" s="10" t="str">
        <x:v>Data direction / mechanism</x:v>
      </x:c>
      <x:c r="C6" s="10" t="str">
        <x:v>Work category</x:v>
      </x:c>
      <x:c r="D6" s="10" t="str">
        <x:v>Evidence available</x:v>
      </x:c>
      <x:c r="E6" s="10" t="str">
        <x:v>Remaining configuration / work</x:v>
      </x:c>
      <x:c r="F6" s="10" t="str">
        <x:v>Proposed owner</x:v>
      </x:c>
      <x:c r="G6" s="10" t="str">
        <x:v>Source IDs</x:v>
      </x:c>
    </x:row>
    <x:row r="7" ht="51" customHeight="1">
      <x:c r="A7" s="3" t="str">
        <x:v>Internal operational data</x:v>
      </x:c>
      <x:c r="B7" s="3" t="str">
        <x:v>Portal services and Desktop API read/write MongoDB collections</x:v>
      </x:c>
      <x:c r="C7" s="3" t="str">
        <x:v>Current capability</x:v>
      </x:c>
      <x:c r="D7" s="3" t="str">
        <x:v>Shared collection contract in source</x:v>
      </x:c>
      <x:c r="E7" s="3" t="str">
        <x:v>Reconcile database selection and schema ownership. Cross-app fixture required.</x:v>
      </x:c>
      <x:c r="F7" s="3" t="str">
        <x:v>Engineering / DBA</x:v>
      </x:c>
      <x:c r="G7" s="3" t="str">
        <x:v>D2,D4,D5</x:v>
      </x:c>
    </x:row>
    <x:row r="8" ht="51" customHeight="1">
      <x:c r="A8" s="11" t="str">
        <x:v>Desktop frontend / REST API</x:v>
      </x:c>
      <x:c r="B8" s="11" t="str">
        <x:v>Browser JSON requests to configured API base URL</x:v>
      </x:c>
      <x:c r="C8" s="11" t="str">
        <x:v>Current capability</x:v>
      </x:c>
      <x:c r="D8" s="11" t="str">
        <x:v>Fetch-based client and Express routes</x:v>
      </x:c>
      <x:c r="E8" s="11" t="str">
        <x:v>Secure endpoint, CORS allowlist, versioned contract and API documentation required.</x:v>
      </x:c>
      <x:c r="F8" s="11" t="str">
        <x:v>Engineering / IT</x:v>
      </x:c>
      <x:c r="G8" s="11" t="str">
        <x:v>D1</x:v>
      </x:c>
    </x:row>
    <x:row r="9" ht="51" customHeight="1">
      <x:c r="A9" s="3" t="str">
        <x:v>Spreadsheet import and export</x:v>
      </x:c>
      <x:c r="B9" s="3" t="str">
        <x:v>User-triggered file exchange in supported portal screens</x:v>
      </x:c>
      <x:c r="C9" s="3" t="str">
        <x:v>Current capability</x:v>
      </x:c>
      <x:c r="D9" s="3" t="str">
        <x:v>Import mappings and dialogs in source</x:v>
      </x:c>
      <x:c r="E9" s="3" t="str">
        <x:v>Validate required modules, templates, large files and rejection messages.</x:v>
      </x:c>
      <x:c r="F9" s="3" t="str">
        <x:v>Operations / QA</x:v>
      </x:c>
      <x:c r="G9" s="3" t="str">
        <x:v>P6</x:v>
      </x:c>
    </x:row>
    <x:row r="10" ht="51" customHeight="1">
      <x:c r="A10" s="11" t="str">
        <x:v>GIS / network file exchange</x:v>
      </x:c>
      <x:c r="B10" s="11" t="str">
        <x:v>Canvas JSON, KMZ/KML import; JSON/CSV/KMZ export</x:v>
      </x:c>
      <x:c r="C10" s="11" t="str">
        <x:v>Current capability</x:v>
      </x:c>
      <x:c r="D10" s="11" t="str">
        <x:v>Import/export handlers in source</x:v>
      </x:c>
      <x:c r="E10" s="11" t="str">
        <x:v>File exchange is not live enterprise GIS synchronisation. Acceptance test geometry/asset mapping.</x:v>
      </x:c>
      <x:c r="F10" s="11" t="str">
        <x:v>GIS owner / QA</x:v>
      </x:c>
      <x:c r="G10" s="11" t="str">
        <x:v>G1</x:v>
      </x:c>
    </x:row>
    <x:row r="11" ht="51" customHeight="1">
      <x:c r="A11" s="3" t="str">
        <x:v>External map tiles</x:v>
      </x:c>
      <x:c r="B11" s="3" t="str">
        <x:v>Browser requests OpenStreetMap / ArcGIS imagery</x:v>
      </x:c>
      <x:c r="C11" s="3" t="str">
        <x:v>Configuration required</x:v>
      </x:c>
      <x:c r="D11" s="3" t="str">
        <x:v>Tile URLs in source</x:v>
      </x:c>
      <x:c r="E11" s="3" t="str">
        <x:v>Client must approve internet egress/provider terms or commission an internal/offline map source.</x:v>
      </x:c>
      <x:c r="F11" s="3" t="str">
        <x:v>IT / GIS</x:v>
      </x:c>
      <x:c r="G11" s="3" t="str">
        <x:v>G1</x:v>
      </x:c>
    </x:row>
    <x:row r="12" ht="51" customHeight="1">
      <x:c r="A12" s="11" t="str">
        <x:v>Email notifications</x:v>
      </x:c>
      <x:c r="B12" s="11" t="str">
        <x:v>Console default; SMTP / SendGrid / SES adapter paths</x:v>
      </x:c>
      <x:c r="C12" s="11" t="str">
        <x:v>Configuration required</x:v>
      </x:c>
      <x:c r="D12" s="11" t="str">
        <x:v>Provider code exists; delivery not tested here</x:v>
      </x:c>
      <x:c r="E12" s="11" t="str">
        <x:v>Configure approved sender/recipients, optional dependencies and transport. Test delivery and failure.</x:v>
      </x:c>
      <x:c r="F12" s="11" t="str">
        <x:v>IT / Engineering</x:v>
      </x:c>
      <x:c r="G12" s="11" t="str">
        <x:v>P5</x:v>
      </x:c>
    </x:row>
    <x:row r="13" ht="51" customHeight="1">
      <x:c r="A13" s="3" t="str">
        <x:v>Corporate SSO and MFA</x:v>
      </x:c>
      <x:c r="B13" s="3" t="str">
        <x:v>Identity-provider integration to be designed</x:v>
      </x:c>
      <x:c r="C13" s="3" t="str">
        <x:v>Development required</x:v>
      </x:c>
      <x:c r="D13" s="3" t="str">
        <x:v>Inspected login uses local passwords and JWT</x:v>
      </x:c>
      <x:c r="E13" s="3" t="str">
        <x:v>Agree OIDC/SAML provider, group-to-role mapping, logout/revocation and MFA policy.</x:v>
      </x:c>
      <x:c r="F13" s="3" t="str">
        <x:v>Identity team / Engineering</x:v>
      </x:c>
      <x:c r="G13" s="3" t="str">
        <x:v>P2,S1</x:v>
      </x:c>
    </x:row>
    <x:row r="14" ht="51" customHeight="1">
      <x:c r="A14" s="11" t="str">
        <x:v>ERP / EAM / CMMS</x:v>
      </x:c>
      <x:c r="B14" s="11" t="str">
        <x:v>External asset, maintenance or cost exchange</x:v>
      </x:c>
      <x:c r="C14" s="11" t="str">
        <x:v>Development required</x:v>
      </x:c>
      <x:c r="D14" s="11" t="str">
        <x:v>No implementation identified in inspected app/lib paths</x:v>
      </x:c>
      <x:c r="E14" s="11" t="str">
        <x:v>Agree systems, IDs, direction, schedule, error handling and interface ownership.</x:v>
      </x:c>
      <x:c r="F14" s="11" t="str">
        <x:v>Client system owners</x:v>
      </x:c>
      <x:c r="G14" s="11" t="str">
        <x:v>S1</x:v>
      </x:c>
    </x:row>
    <x:row r="15" ht="51" customHeight="1">
      <x:c r="A15" s="3" t="str">
        <x:v>SCADA / historian</x:v>
      </x:c>
      <x:c r="B15" s="3" t="str">
        <x:v>Operational measurements into planning</x:v>
      </x:c>
      <x:c r="C15" s="3" t="str">
        <x:v>Development required</x:v>
      </x:c>
      <x:c r="D15" s="3" t="str">
        <x:v>No telemetry connector identified in inspected application paths</x:v>
      </x:c>
      <x:c r="E15" s="3" t="str">
        <x:v>Agree read-only ingestion, time aggregation, units and quality flags.</x:v>
      </x:c>
      <x:c r="F15" s="3" t="str">
        <x:v>OT team / Engineering</x:v>
      </x:c>
      <x:c r="G15" s="3" t="str">
        <x:v>S1</x:v>
      </x:c>
    </x:row>
    <x:row r="16" ht="51" customHeight="1">
      <x:c r="A16" s="11" t="str">
        <x:v>Equipment control</x:v>
      </x:c>
      <x:c r="B16" s="11" t="str">
        <x:v>Commands to pumps/valves</x:v>
      </x:c>
      <x:c r="C16" s="11" t="str">
        <x:v>Development required</x:v>
      </x:c>
      <x:c r="D16" s="11" t="str">
        <x:v>No equipment-control connector identified</x:v>
      </x:c>
      <x:c r="E16" s="11" t="str">
        <x:v>Separate scope and control/safety design. Do not equate Publish with actuator commands.</x:v>
      </x:c>
      <x:c r="F16" s="11" t="str">
        <x:v>OT / Product</x:v>
      </x:c>
      <x:c r="G16" s="11" t="str">
        <x:v>D4,S1</x:v>
      </x:c>
    </x:row>
    <x:row r="17" ht="51" customHeight="1">
      <x:c r="A17" s="3" t="str">
        <x:v>SIEM / central monitoring</x:v>
      </x:c>
      <x:c r="B17" s="3" t="str">
        <x:v>Security and service events to client tooling</x:v>
      </x:c>
      <x:c r="C17" s="3" t="str">
        <x:v>Configuration required</x:v>
      </x:c>
      <x:c r="D17" s="3" t="str">
        <x:v>Console and portal audit paths exist; connector not evidenced</x:v>
      </x:c>
      <x:c r="E17" s="3" t="str">
        <x:v>Agree event schema and collector. Application changes may be needed for full actor/context coverage.</x:v>
      </x:c>
      <x:c r="F17" s="3" t="str">
        <x:v>Security / Operations</x:v>
      </x:c>
      <x:c r="G17" s="3" t="str">
        <x:v>D1,P7,R1</x:v>
      </x:c>
    </x:row>
  </x:sheetData>
  <x:pageMargins left="0.7" right="0.7" top="0.75" bottom="0.75" header="0.3" footer="0.3"/>
  <x:tableParts count="1">
    <x:tablePart xmlns:r="http://schemas.openxmlformats.org/officeDocument/2006/relationships" r:id="Rf70f1078b4b44c2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8.130000114440918" hidden="0" customWidth="1"/>
    <x:col min="2" max="2" width="28.75" hidden="0" customWidth="1"/>
    <x:col min="3" max="3" width="28.75" hidden="0" customWidth="1"/>
    <x:col min="4" max="4" width="49.380001068115234" hidden="0" customWidth="1"/>
    <x:col min="5" max="5" width="52.5" hidden="0" customWidth="1"/>
    <x:col min="6" max="6" width="48.75" hidden="0" customWidth="1"/>
    <x:col min="7" max="7" width="12.5" hidden="0" customWidth="1"/>
    <x:col min="8" max="8" width="3" hidden="0" customWidth="1"/>
    <x:col min="9" max="9" width="9.380000114440918" hidden="0" customWidth="1"/>
    <x:col min="10" max="10" width="87.5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</x:row>
    <x:row r="2" ht="22.5" customHeight="1">
      <x:c r="A2" s="5" t="str">
        <x:v>Security, performance and recovery evidence</x:v>
      </x:c>
      <x:c r="B2" s="3"/>
      <x:c r="C2" s="3"/>
      <x:c r="D2" s="3"/>
      <x:c r="E2" s="3"/>
      <x:c r="F2" s="3"/>
      <x:c r="G2" s="3"/>
    </x:row>
    <x:row r="3" ht="17.25" customHeight="1">
      <x:c r="A3" s="6"/>
      <x:c r="B3" s="6" t="str">
        <x:v>Reviewed 29 September 2026</x:v>
      </x:c>
      <x:c r="C3" s="6"/>
      <x:c r="D3" s="6" t="str">
        <x:v>Source review and local functional tests</x:v>
      </x:c>
      <x:c r="E3" s="6" t="str">
        <x:v>Hosted security, load and recovery remain unverified</x:v>
      </x:c>
      <x:c r="F3" s="6"/>
      <x:c r="G3" s="3"/>
      <x:c r="I3" s="20" t="str">
        <x:v>Source aliases: Desktop / Production = repository roots. Demand / Transmission / Economics = nested WIDispatch app folders.</x:v>
      </x:c>
    </x:row>
    <x:row r="4" ht="18" customHeight="1">
      <x:c r="A4" s="3"/>
      <x:c r="B4" s="3"/>
      <x:c r="C4" s="3"/>
      <x:c r="D4" s="3"/>
      <x:c r="E4" s="3"/>
      <x:c r="F4" s="3"/>
      <x:c r="G4" s="3"/>
    </x:row>
    <x:row r="5" ht="18" customHeight="1">
      <x:c r="A5" s="3"/>
      <x:c r="B5" s="3"/>
      <x:c r="C5" s="3"/>
      <x:c r="D5" s="3"/>
      <x:c r="E5" s="3"/>
      <x:c r="F5" s="3"/>
      <x:c r="G5" s="3"/>
    </x:row>
    <x:row r="6" ht="30" customHeight="1">
      <x:c r="A6" s="10" t="str">
        <x:v>ID</x:v>
      </x:c>
      <x:c r="B6" s="10" t="str">
        <x:v>Control / topic</x:v>
      </x:c>
      <x:c r="C6" s="10" t="str">
        <x:v>Evidence status</x:v>
      </x:c>
      <x:c r="D6" s="10" t="str">
        <x:v>Available evidence</x:v>
      </x:c>
      <x:c r="E6" s="10" t="str">
        <x:v>What the evidence does not establish</x:v>
      </x:c>
      <x:c r="F6" s="10" t="str">
        <x:v>Next proof / acceptance</x:v>
      </x:c>
      <x:c r="G6" s="10" t="str">
        <x:v>Source IDs</x:v>
      </x:c>
      <x:c r="I6" s="17" t="str">
        <x:v>Source ID</x:v>
      </x:c>
      <x:c r="J6" s="17" t="str">
        <x:v>Source location / evidence scope</x:v>
      </x:c>
    </x:row>
    <x:row r="7" ht="75" customHeight="1">
      <x:c r="A7" s="3" t="str">
        <x:v>E01</x:v>
      </x:c>
      <x:c r="B7" s="3" t="str">
        <x:v>Portal authentication</x:v>
      </x:c>
      <x:c r="C7" s="3" t="str">
        <x:v>Source inspected</x:v>
      </x:c>
      <x:c r="D7" s="3" t="str">
        <x:v>Password comparison with bcrypt and signed JWT login; seven-day token setting.</x:v>
      </x:c>
      <x:c r="E7" s="3" t="str">
        <x:v>No authenticated penetration or session-revocation test in this review.</x:v>
      </x:c>
      <x:c r="F7" s="3" t="str">
        <x:v>Test invalid/expired tokens, revocation and approved session policy.</x:v>
      </x:c>
      <x:c r="G7" s="3" t="str">
        <x:v>P2</x:v>
      </x:c>
      <x:c r="I7" s="3" t="str">
        <x:v>D1</x:v>
      </x:c>
      <x:c r="J7" s="3" t="str">
        <x:v>Desktop/backend/src/server.js:31-64 and API routes; Desktop/frontend/src/api/client.js:1-20; package.json in frontend and backend</x:v>
      </x:c>
    </x:row>
    <x:row r="8" ht="75" customHeight="1">
      <x:c r="A8" s="11" t="str">
        <x:v>E02</x:v>
      </x:c>
      <x:c r="B8" s="11" t="str">
        <x:v>Portal role and scope</x:v>
      </x:c>
      <x:c r="C8" s="11" t="str">
        <x:v>Source inspected; gaps identified</x:v>
      </x:c>
      <x:c r="D8" s="11" t="str">
        <x:v>Six role codes and scope helpers exist. Approval routes have role checks.</x:v>
      </x:c>
      <x:c r="E8" s="11" t="str">
        <x:v>Inspected approval status routes do not check record asset scope or separate submitter/approver.</x:v>
      </x:c>
      <x:c r="F8" s="11" t="str">
        <x:v>Implement and test cross-scope denial and separation of duties.</x:v>
      </x:c>
      <x:c r="G8" s="11" t="str">
        <x:v>P1,P3</x:v>
      </x:c>
      <x:c r="I8" s="3" t="str">
        <x:v>D2</x:v>
      </x:c>
      <x:c r="J8" s="3" t="str">
        <x:v>Desktop/backend/src/db.js:9-28; Production/Demand lib/mongodb.ts:38-41; Transmission/Economics lib/mongodb.ts:38-43; Production/Transmission/Economics app/api/users/assign/route.ts:33</x:v>
      </x:c>
    </x:row>
    <x:row r="9" ht="75" customHeight="1">
      <x:c r="A9" s="3" t="str">
        <x:v>E03</x:v>
      </x:c>
      <x:c r="B9" s="3" t="str">
        <x:v>Desktop authentication</x:v>
      </x:c>
      <x:c r="C9" s="3" t="str">
        <x:v>Source inspected; gap identified</x:v>
      </x:c>
      <x:c r="D9" s="3" t="str">
        <x:v>Express routes and frontend requests inspected. No authentication middleware found in server.js.</x:v>
      </x:c>
      <x:c r="E9" s="3" t="str">
        <x:v>A protected reverse proxy, if any, was not inspected and would not prove per-action RBAC.</x:v>
      </x:c>
      <x:c r="F9" s="3" t="str">
        <x:v>Enforce identity and scoped authorization on protected APIs.</x:v>
      </x:c>
      <x:c r="G9" s="3" t="str">
        <x:v>D1</x:v>
      </x:c>
      <x:c r="I9" s="3" t="str">
        <x:v>D3</x:v>
      </x:c>
      <x:c r="J9" s="3" t="str">
        <x:v>Desktop/backend/src/simulationConfigs.js:38-84, 176-255</x:v>
      </x:c>
    </x:row>
    <x:row r="10" ht="75" customHeight="1">
      <x:c r="A10" s="11" t="str">
        <x:v>E04</x:v>
      </x:c>
      <x:c r="B10" s="11" t="str">
        <x:v>Secrets / diagnostics / CORS</x:v>
      </x:c>
      <x:c r="C10" s="11" t="str">
        <x:v>Source inspected; gaps identified</x:v>
      </x:c>
      <x:c r="D10" s="11" t="str">
        <x:v>Portal signing-secret fallback, Desktop unrestricted cors(), and diagnostic email route identified.</x:v>
      </x:c>
      <x:c r="E10" s="11" t="str">
        <x:v>No secret values or live environment settings inspected. No request sent to email endpoints.</x:v>
      </x:c>
      <x:c r="F10" s="11" t="str">
        <x:v>Remove fallback, fail closed, restrict origins and protect/disable diagnostics.</x:v>
      </x:c>
      <x:c r="G10" s="11" t="str">
        <x:v>D1,P2,P5</x:v>
      </x:c>
      <x:c r="I10" s="3" t="str">
        <x:v>D4</x:v>
      </x:c>
      <x:c r="J10" s="3" t="str">
        <x:v>Desktop/backend/src/simulation/writeback.js:23-130</x:v>
      </x:c>
    </x:row>
    <x:row r="11" ht="75" customHeight="1">
      <x:c r="A11" s="3" t="str">
        <x:v>E05</x:v>
      </x:c>
      <x:c r="B11" s="3" t="str">
        <x:v>Audit and lineage</x:v>
      </x:c>
      <x:c r="C11" s="3" t="str">
        <x:v>Source inspected</x:v>
      </x:c>
      <x:c r="D11" s="3" t="str">
        <x:v>Portal approval actor/time audit writes and dispatch_plan_id lineage exist.</x:v>
      </x:c>
      <x:c r="E11" s="3" t="str">
        <x:v>No immutable retention or complete authenticated Desktop publication audit established.</x:v>
      </x:c>
      <x:c r="F11" s="3" t="str">
        <x:v>Define actor events, protected retention and SIEM export.</x:v>
      </x:c>
      <x:c r="G11" s="3" t="str">
        <x:v>P3,P7,D4</x:v>
      </x:c>
      <x:c r="I11" s="3" t="str">
        <x:v>D5</x:v>
      </x:c>
      <x:c r="J11" s="3" t="str">
        <x:v>Desktop/backend/src/simulation/dispatch.js:101-145, 178 onward; capacity.js; cost.js:16-67; graph.js; mcmf.js</x:v>
      </x:c>
    </x:row>
    <x:row r="12" ht="75" customHeight="1">
      <x:c r="A12" s="11" t="str">
        <x:v>E06</x:v>
      </x:c>
      <x:c r="B12" s="11" t="str">
        <x:v>Publication atomicity</x:v>
      </x:c>
      <x:c r="C12" s="11" t="str">
        <x:v>Source inspected; gap identified</x:v>
      </x:c>
      <x:c r="D12" s="11" t="str">
        <x:v>Three unordered bulk writes run in parallel, followed by plan status update.</x:v>
      </x:c>
      <x:c r="E12" s="11" t="str">
        <x:v>No transaction, request idempotency key or versioned input check in inspected path.</x:v>
      </x:c>
      <x:c r="F12" s="11" t="str">
        <x:v>Fault-injection, retry, simultaneous publish and stale-input tests after implementation.</x:v>
      </x:c>
      <x:c r="G12" s="11" t="str">
        <x:v>D3,D4</x:v>
      </x:c>
      <x:c r="I12" s="3" t="str">
        <x:v>D6</x:v>
      </x:c>
      <x:c r="J12" s="3" t="str">
        <x:v>Desktop/backend/src/assetRegistry.js:12-23, 221-335; networks.js; transmissionRegistry.js</x:v>
      </x:c>
    </x:row>
    <x:row r="13" ht="75" customHeight="1">
      <x:c r="A13" s="3" t="str">
        <x:v>E07</x:v>
      </x:c>
      <x:c r="B13" s="3" t="str">
        <x:v>Decision editing</x:v>
      </x:c>
      <x:c r="C13" s="3" t="str">
        <x:v>Source inspected and unit tested</x:v>
      </x:c>
      <x:c r="D13" s="3" t="str">
        <x:v>Bounds 0..required, revision/rejection comments, and published-plan edit guard exist.</x:v>
      </x:c>
      <x:c r="E13" s="3" t="str">
        <x:v>Decision patches do not re-solve supply/flow. No revision compare-and-set across draft editors.</x:v>
      </x:c>
      <x:c r="F13" s="3" t="str">
        <x:v>Revalidate edits against feasible allocations and add version checks.</x:v>
      </x:c>
      <x:c r="G13" s="3" t="str">
        <x:v>D3,T1</x:v>
      </x:c>
      <x:c r="I13" s="3" t="str">
        <x:v>P1</x:v>
      </x:c>
      <x:c r="J13" s="3" t="str">
        <x:v>Production, Demand, Transmission, Economics: lib/rbac.ts and lib/types.ts (current working files)</x:v>
      </x:c>
    </x:row>
    <x:row r="14" ht="75" customHeight="1">
      <x:c r="A14" s="11" t="str">
        <x:v>E08</x:v>
      </x:c>
      <x:c r="B14" s="11" t="str">
        <x:v>Backend functional tests</x:v>
      </x:c>
      <x:c r="C14" s="11" t="str">
        <x:v>Executed 2026-09-29</x:v>
      </x:c>
      <x:c r="D14" s="11" t="str">
        <x:v>87 tests passed; 0 failed; 0 skipped. Covers solver, capacity, storage, cost and decision helpers.</x:v>
      </x:c>
      <x:c r="E14" s="11" t="str">
        <x:v>Local unit/fixture execution, not live database or five-app acceptance. Runner duration is not simulation SLA.</x:v>
      </x:c>
      <x:c r="F14" s="11" t="str">
        <x:v>Retain this baseline and add deployment integration tests.</x:v>
      </x:c>
      <x:c r="G14" s="11" t="str">
        <x:v>T1</x:v>
      </x:c>
      <x:c r="I14" s="3" t="str">
        <x:v>P2</x:v>
      </x:c>
      <x:c r="J14" s="3" t="str">
        <x:v>All four portals: lib/auth.ts and app/api/auth/login/route.ts:13-49</x:v>
      </x:c>
    </x:row>
    <x:row r="15" ht="75" customHeight="1">
      <x:c r="A15" s="3" t="str">
        <x:v>E09</x:v>
      </x:c>
      <x:c r="B15" s="3" t="str">
        <x:v>Production performance</x:v>
      </x:c>
      <x:c r="C15" s="3" t="str">
        <x:v>Not measured</x:v>
      </x:c>
      <x:c r="D15" s="3" t="str">
        <x:v>No controlled target-host load benchmark performed.</x:v>
      </x:c>
      <x:c r="E15" s="3" t="str">
        <x:v>SRD trial envelope and response targets are proposals only.</x:v>
      </x:c>
      <x:c r="F15" s="3" t="str">
        <x:v>Agree users, graph size, horizon and dataset. Measure p95 API time, run time and memory.</x:v>
      </x:c>
      <x:c r="G15" s="3" t="str">
        <x:v>R1,S1</x:v>
      </x:c>
      <x:c r="I15" s="3" t="str">
        <x:v>P3</x:v>
      </x:c>
      <x:c r="J15" s="3" t="str">
        <x:v>All four portals: app/api/submissions/[id]/status/route.ts (role gate, record lookup, status update and audit)</x:v>
      </x:c>
    </x:row>
    <x:row r="16" ht="75" customHeight="1">
      <x:c r="A16" s="11" t="str">
        <x:v>E10</x:v>
      </x:c>
      <x:c r="B16" s="11" t="str">
        <x:v>Backup and restore</x:v>
      </x:c>
      <x:c r="C16" s="11" t="str">
        <x:v>Not verified</x:v>
      </x:c>
      <x:c r="D16" s="11" t="str">
        <x:v>No backup configuration or restoration exercise inspected.</x:v>
      </x:c>
      <x:c r="E16" s="11" t="str">
        <x:v>SRD proposes RPO &lt;=24h, RTO &lt;=8h and 14-day trial retention; not an SLA.</x:v>
      </x:c>
      <x:c r="F16" s="11" t="str">
        <x:v>Agree production targets and restore into an isolated environment.</x:v>
      </x:c>
      <x:c r="G16" s="11" t="str">
        <x:v>R1</x:v>
      </x:c>
      <x:c r="I16" s="3" t="str">
        <x:v>P4</x:v>
      </x:c>
      <x:c r="J16" s="3" t="str">
        <x:v>Production components/production/production-input-table.tsx:171-185; Demand equivalent:183-198</x:v>
      </x:c>
    </x:row>
    <x:row r="17" ht="75" customHeight="1">
      <x:c r="A17" s="3" t="str">
        <x:v>E11</x:v>
      </x:c>
      <x:c r="B17" s="3" t="str">
        <x:v>Availability and failover</x:v>
      </x:c>
      <x:c r="C17" s="3" t="str">
        <x:v>Not verified</x:v>
      </x:c>
      <x:c r="D17" s="3" t="str">
        <x:v>No deployed HA/failover evidence supplied in this review.</x:v>
      </x:c>
      <x:c r="E17" s="3" t="str">
        <x:v>A proposed single VM or single-node replica set does not demonstrate high availability.</x:v>
      </x:c>
      <x:c r="F17" s="3" t="str">
        <x:v>Choose topology and test service/database failure behaviour.</x:v>
      </x:c>
      <x:c r="G17" s="3" t="str">
        <x:v>R1</x:v>
      </x:c>
      <x:c r="I17" s="3" t="str">
        <x:v>P5</x:v>
      </x:c>
      <x:c r="J17" s="3" t="str">
        <x:v>Production lib/email.ts:7-13, 35-201; other portals lib/email.ts; app/api/test-email/route.ts</x:v>
      </x:c>
    </x:row>
    <x:row r="18" ht="75" customHeight="1">
      <x:c r="A18" s="11" t="str">
        <x:v>E12</x:v>
      </x:c>
      <x:c r="B18" s="11" t="str">
        <x:v>Transport / at-rest encryption</x:v>
      </x:c>
      <x:c r="C18" s="11" t="str">
        <x:v>Deployment evidence absent</x:v>
      </x:c>
      <x:c r="D18" s="11" t="str">
        <x:v>Application/database client code is available for inspection.</x:v>
      </x:c>
      <x:c r="E18" s="11" t="str">
        <x:v>No certificates, reverse proxy, database encryption, key custody or hosting region verified.</x:v>
      </x:c>
      <x:c r="F18" s="11" t="str">
        <x:v>Provide configuration evidence and connection/restore tests on approved host.</x:v>
      </x:c>
      <x:c r="G18" s="11" t="str">
        <x:v>D1,D2,R1</x:v>
      </x:c>
      <x:c r="I18" s="3" t="str">
        <x:v>P6</x:v>
      </x:c>
      <x:c r="J18" s="3" t="str">
        <x:v>Production, Demand, Transmission lib/imports.ts; shared excel-import-dialog components</x:v>
      </x:c>
    </x:row>
    <x:row r="19" ht="75" customHeight="1">
      <x:c r="A19" s="3" t="str">
        <x:v>E13</x:v>
      </x:c>
      <x:c r="B19" s="3" t="str">
        <x:v>Penetration / vulnerability testing</x:v>
      </x:c>
      <x:c r="C19" s="3" t="str">
        <x:v>Evidence absent</x:v>
      </x:c>
      <x:c r="D19" s="3" t="str">
        <x:v>No penetration-test report or complete dependency-security assessment reviewed.</x:v>
      </x:c>
      <x:c r="E19" s="3" t="str">
        <x:v>Source inspection and unit tests cannot certify security or compliance.</x:v>
      </x:c>
      <x:c r="F19" s="3" t="str">
        <x:v>Agree assessment scope, remediate findings and retest.</x:v>
      </x:c>
      <x:c r="G19" s="3" t="str">
        <x:v>S1,R1</x:v>
      </x:c>
      <x:c r="I19" s="3" t="str">
        <x:v>P7</x:v>
      </x:c>
      <x:c r="J19" s="3" t="str">
        <x:v>Production app/api/audit-logs/route.ts; submissions/[id]/status/route.ts:175 onward; lib/rbac.ts audit helpers</x:v>
      </x:c>
    </x:row>
    <x:row r="20" ht="75" customHeight="1">
      <x:c r="A20" s="11" t="str">
        <x:v>E14</x:v>
      </x:c>
      <x:c r="B20" s="11" t="str">
        <x:v>Release / rollback</x:v>
      </x:c>
      <x:c r="C20" s="11" t="str">
        <x:v>Source inspected; deployment unverified</x:v>
      </x:c>
      <x:c r="D20" s="11" t="str">
        <x:v>Build scripts exist; Production next.config.mjs ignores TypeScript build errors.</x:v>
      </x:c>
      <x:c r="E20" s="11" t="str">
        <x:v>No validated release pipeline, migration rollback or recovery rehearsal shown.</x:v>
      </x:c>
      <x:c r="F20" s="11" t="str">
        <x:v>Run explicit type checks, record revisions, back up and rehearse compatible rollback.</x:v>
      </x:c>
      <x:c r="G20" s="11" t="str">
        <x:v>R1,S1</x:v>
      </x:c>
      <x:c r="I20" s="3" t="str">
        <x:v>P8</x:v>
      </x:c>
      <x:c r="J20" s="3" t="str">
        <x:v>Economics app/api/financial-entries/route.ts; lib/financial-costs.ts; Desktop simulation/cost.js</x:v>
      </x:c>
    </x:row>
    <x:row r="21" ht="75" customHeight="1">
      <x:c r="A21" s="3" t="str">
        <x:v>E15</x:v>
      </x:c>
      <x:c r="B21" s="3" t="str">
        <x:v>Database consistency</x:v>
      </x:c>
      <x:c r="C21" s="3" t="str">
        <x:v>Source inspected; gap identified</x:v>
      </x:c>
      <x:c r="D21" s="3" t="str">
        <x:v>Production/Demand use fixed DB name; Desktop/Transmission/Economics derive from URI. Assignment routes in three portals use another fixed name.</x:v>
      </x:c>
      <x:c r="E21" s="3" t="str">
        <x:v>Live connection strings intentionally not read. Actual data isolation is not proven.</x:v>
      </x:c>
      <x:c r="F21" s="3" t="str">
        <x:v>Unify environment DB policy and test account assignment plus cross-app fixtures.</x:v>
      </x:c>
      <x:c r="G21" s="3" t="str">
        <x:v>D2</x:v>
      </x:c>
      <x:c r="I21" s="3" t="str">
        <x:v>G1</x:v>
      </x:c>
      <x:c r="J21" s="3" t="str">
        <x:v>Desktop/frontend/src/pages/NetworkBuilderPage.jsx:2896-2905, 3122-3180, 3575-3578; lib/networkKmz.js; components/networkCanvas/NetworkCanvasMapView.jsx:101; AssetDetailPage.jsx:174</x:v>
      </x:c>
    </x:row>
    <x:row r="22" ht="75" customHeight="1">
      <x:c r="A22" s="11" t="str">
        <x:v>E16</x:v>
      </x:c>
      <x:c r="B22" s="11" t="str">
        <x:v>Client environment acceptance</x:v>
      </x:c>
      <x:c r="C22" s="11" t="str">
        <x:v>Not performed</x:v>
      </x:c>
      <x:c r="D22" s="11" t="str">
        <x:v>Previous demonstration screenshots are available as workflow illustrations.</x:v>
      </x:c>
      <x:c r="E22" s="11" t="str">
        <x:v>Screenshots do not establish security, load, recovery or current client-environment acceptance.</x:v>
      </x:c>
      <x:c r="F22" s="11" t="str">
        <x:v>Run role-by-role UAT and full input-to-publication reconciliation on client-approved test data.</x:v>
      </x:c>
      <x:c r="G22" s="11" t="str">
        <x:v>R1</x:v>
      </x:c>
      <x:c r="I22" s="3" t="str">
        <x:v>T1</x:v>
      </x:c>
      <x:c r="J22" s="3" t="str">
        <x:v>Desktop backend existing test suite, executed 2026-09-29 with Node --test: 87 tests, 87 passed, 0 failed, 0 skipped; local runner duration 564.0742 ms. Private execution log retained.</x:v>
      </x:c>
    </x:row>
    <x:row r="23" ht="75" customHeight="1">
      <x:c r="I23" s="3" t="str">
        <x:v>R1</x:v>
      </x:c>
      <x:c r="J23" s="3" t="str">
        <x:v>WIDispatch_SRD.docx, internal draft v1.0, 10 September 2026: sections 1, 5, 6 and 7. Proposed requirements and trial targets, not deployment evidence.</x:v>
      </x:c>
    </x:row>
    <x:row r="24" ht="75" customHeight="1">
      <x:c r="I24" s="3" t="str">
        <x:v>S1</x:v>
      </x:c>
      <x:c r="J24" s="3" t="str">
        <x:v>Source inventory of app/lib/backend/frontend and package manifests in the five supplied repositories, 2026-09-29. Targeted search only, not an exhaustive security or integration audit.</x:v>
      </x:c>
    </x:row>
  </x:sheetData>
  <x:pageMargins left="0.7" right="0.7" top="0.75" bottom="0.75" header="0.3" footer="0.3"/>
  <x:tableParts count="1">
    <x:tablePart xmlns:r="http://schemas.openxmlformats.org/officeDocument/2006/relationships" r:id="Rda4a12f2cd53421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7.5" hidden="0" customWidth="1"/>
    <x:col min="2" max="2" width="43.75" hidden="0" customWidth="1"/>
    <x:col min="3" max="3" width="26.25" hidden="0" customWidth="1"/>
    <x:col min="4" max="4" width="51.25" hidden="0" customWidth="1"/>
    <x:col min="5" max="5" width="42.5" hidden="0" customWidth="1"/>
    <x:col min="6" max="6" width="12.5" hidden="0" customWidth="1"/>
  </x:cols>
  <x:sheetData>
    <x:row r="1" ht="10.5" customHeight="1">
      <x:c r="A1" s="3"/>
      <x:c r="B1" s="3"/>
      <x:c r="C1" s="3"/>
      <x:c r="D1" s="3"/>
      <x:c r="E1" s="3"/>
      <x:c r="F1" s="3"/>
    </x:row>
    <x:row r="2" ht="22.5" customHeight="1">
      <x:c r="A2" s="5" t="str">
        <x:v>Deployment and operating responsibilities</x:v>
      </x:c>
      <x:c r="B2" s="3"/>
      <x:c r="C2" s="3"/>
      <x:c r="D2" s="3"/>
      <x:c r="E2" s="3"/>
      <x:c r="F2" s="3"/>
    </x:row>
    <x:row r="3" ht="17.25" customHeight="1">
      <x:c r="A3" s="6" t="str">
        <x:v>The PowerPoint contains current logical architecture and a separate proposed deployment diagram. This table records decisions and owners.</x:v>
      </x:c>
      <x:c r="B3" s="3"/>
      <x:c r="C3" s="3"/>
      <x:c r="D3" s="3"/>
      <x:c r="E3" s="3"/>
      <x:c r="F3" s="3"/>
    </x:row>
    <x:row r="4" ht="18" customHeight="1">
      <x:c r="A4" s="3"/>
      <x:c r="B4" s="3"/>
      <x:c r="C4" s="3"/>
      <x:c r="D4" s="3"/>
      <x:c r="E4" s="3"/>
      <x:c r="F4" s="3"/>
    </x:row>
    <x:row r="5" ht="18" customHeight="1">
      <x:c r="A5" s="3"/>
      <x:c r="B5" s="3"/>
      <x:c r="C5" s="3"/>
      <x:c r="D5" s="3"/>
      <x:c r="E5" s="3"/>
      <x:c r="F5" s="3"/>
    </x:row>
    <x:row r="6" ht="30" customHeight="1">
      <x:c r="A6" s="10" t="str">
        <x:v>Area</x:v>
      </x:c>
      <x:c r="B6" s="10" t="str">
        <x:v>Current / proposed position</x:v>
      </x:c>
      <x:c r="C6" s="10" t="str">
        <x:v>Proposed owner</x:v>
      </x:c>
      <x:c r="D6" s="10" t="str">
        <x:v>Configuration / decision needed</x:v>
      </x:c>
      <x:c r="E6" s="10" t="str">
        <x:v>Acceptance / boundary</x:v>
      </x:c>
      <x:c r="F6" s="10" t="str">
        <x:v>Source IDs</x:v>
      </x:c>
    </x:row>
    <x:row r="7" ht="51" customHeight="1">
      <x:c r="A7" s="3" t="str">
        <x:v>Browser access</x:v>
      </x:c>
      <x:c r="B7" s="3" t="str">
        <x:v>Current: React interfaces for all five applications</x:v>
      </x:c>
      <x:c r="C7" s="3" t="str">
        <x:v>Client endpoint team</x:v>
      </x:c>
      <x:c r="D7" s="3" t="str">
        <x:v>Supported browser/device versions and network route</x:v>
      </x:c>
      <x:c r="E7" s="3" t="str">
        <x:v>Browser smoke test and role login</x:v>
      </x:c>
      <x:c r="F7" s="3" t="str">
        <x:v>D1,P2</x:v>
      </x:c>
    </x:row>
    <x:row r="8" ht="51" customHeight="1">
      <x:c r="A8" s="11" t="str">
        <x:v>Desktop delivery</x:v>
      </x:c>
      <x:c r="B8" s="11" t="str">
        <x:v>Current: React/Vite browser frontend plus Express API</x:v>
      </x:c>
      <x:c r="C8" s="11" t="str">
        <x:v>Application owner</x:v>
      </x:c>
      <x:c r="D8" s="11" t="str">
        <x:v>Serve compiled frontend; configure API URL</x:v>
      </x:c>
      <x:c r="E8" s="11" t="str">
        <x:v>No installed Windows executable assumed</x:v>
      </x:c>
      <x:c r="F8" s="11" t="str">
        <x:v>D1</x:v>
      </x:c>
    </x:row>
    <x:row r="9" ht="51" customHeight="1">
      <x:c r="A9" s="3" t="str">
        <x:v>Portal services</x:v>
      </x:c>
      <x:c r="B9" s="3" t="str">
        <x:v>Current: four Next.js servers with API routes</x:v>
      </x:c>
      <x:c r="C9" s="3" t="str">
        <x:v>Application owner</x:v>
      </x:c>
      <x:c r="D9" s="3" t="str">
        <x:v>Separate service/process configuration and approved HTTPS routes</x:v>
      </x:c>
      <x:c r="E9" s="3" t="str">
        <x:v>Each service health and functional smoke test</x:v>
      </x:c>
      <x:c r="F9" s="3" t="str">
        <x:v>D1,S1</x:v>
      </x:c>
    </x:row>
    <x:row r="10" ht="51" customHeight="1">
      <x:c r="A10" s="11" t="str">
        <x:v>Database</x:v>
      </x:c>
      <x:c r="B10" s="11" t="str">
        <x:v>Current: MongoDB-backed operational/planning collections</x:v>
      </x:c>
      <x:c r="C10" s="11" t="str">
        <x:v>DBA / Engineering</x:v>
      </x:c>
      <x:c r="D10" s="11" t="str">
        <x:v>Private access, consistent environment DB name, scoped credentials</x:v>
      </x:c>
      <x:c r="E10" s="11" t="str">
        <x:v>Cross-app fixture and assignment test</x:v>
      </x:c>
      <x:c r="F10" s="11" t="str">
        <x:v>D2</x:v>
      </x:c>
    </x:row>
    <x:row r="11" ht="51" customHeight="1">
      <x:c r="A11" s="3" t="str">
        <x:v>Proposed ingress</x:v>
      </x:c>
      <x:c r="B11" s="3" t="str">
        <x:v>HTTPS reverse proxy/load balancer</x:v>
      </x:c>
      <x:c r="C11" s="3" t="str">
        <x:v>Client IT / Hosting owner</x:v>
      </x:c>
      <x:c r="D11" s="3" t="str">
        <x:v>DNS, certificates, firewall and private application ports</x:v>
      </x:c>
      <x:c r="E11" s="3" t="str">
        <x:v>External scan and certificate validation</x:v>
      </x:c>
      <x:c r="F11" s="3" t="str">
        <x:v>R1</x:v>
      </x:c>
    </x:row>
    <x:row r="12" ht="51" customHeight="1">
      <x:c r="A12" s="11" t="str">
        <x:v>Proposed trial host</x:v>
      </x:c>
      <x:c r="B12" s="11" t="str">
        <x:v>SRD proposal: Linux VM, 4 vCPU, 16 GB RAM, about 100 GB storage</x:v>
      </x:c>
      <x:c r="C12" s="11" t="str">
        <x:v>Hosting owner</x:v>
      </x:c>
      <x:c r="D12" s="11" t="str">
        <x:v>Sizing subject to measured workload; not a production recommendation</x:v>
      </x:c>
      <x:c r="E12" s="11" t="str">
        <x:v>Agreed load benchmark on chosen host</x:v>
      </x:c>
      <x:c r="F12" s="11" t="str">
        <x:v>R1</x:v>
      </x:c>
    </x:row>
    <x:row r="13" ht="43.5" customHeight="1">
      <x:c r="A13" s="3" t="str">
        <x:v>Production availability</x:v>
      </x:c>
      <x:c r="B13" s="3" t="str">
        <x:v>Design decision pending</x:v>
      </x:c>
      <x:c r="C13" s="3" t="str">
        <x:v>Client IT / Service owner</x:v>
      </x:c>
      <x:c r="D13" s="3" t="str">
        <x:v>Redundancy, maintenance window, DB topology and failover</x:v>
      </x:c>
      <x:c r="E13" s="3" t="str">
        <x:v>Recovery and failure tests</x:v>
      </x:c>
      <x:c r="F13" s="3" t="str">
        <x:v>R1</x:v>
      </x:c>
    </x:row>
    <x:row r="14" ht="51" customHeight="1">
      <x:c r="A14" s="11" t="str">
        <x:v>Backup / recovery</x:v>
      </x:c>
      <x:c r="B14" s="11" t="str">
        <x:v>Configuration and evidence pending</x:v>
      </x:c>
      <x:c r="C14" s="11" t="str">
        <x:v>Operations / DBA</x:v>
      </x:c>
      <x:c r="D14" s="11" t="str">
        <x:v>Retention, backup location, encryption, key access, RPO/RTO</x:v>
      </x:c>
      <x:c r="E14" s="11" t="str">
        <x:v>Isolated restoration with records and saved-plan checks</x:v>
      </x:c>
      <x:c r="F14" s="11" t="str">
        <x:v>R1</x:v>
      </x:c>
    </x:row>
    <x:row r="15" ht="43.5" customHeight="1">
      <x:c r="A15" s="3" t="str">
        <x:v>External services</x:v>
      </x:c>
      <x:c r="B15" s="3" t="str">
        <x:v>Map tiles and optional email</x:v>
      </x:c>
      <x:c r="C15" s="3" t="str">
        <x:v>Client IT / Security</x:v>
      </x:c>
      <x:c r="D15" s="3" t="str">
        <x:v>Allowlist approved services or design alternatives</x:v>
      </x:c>
      <x:c r="E15" s="3" t="str">
        <x:v>Egress and mail-delivery checks</x:v>
      </x:c>
      <x:c r="F15" s="3" t="str">
        <x:v>G1,P5</x:v>
      </x:c>
    </x:row>
    <x:row r="16" ht="51" customHeight="1">
      <x:c r="A16" s="11" t="str">
        <x:v>Identity federation</x:v>
      </x:c>
      <x:c r="B16" s="11" t="str">
        <x:v>Development scope if required</x:v>
      </x:c>
      <x:c r="C16" s="11" t="str">
        <x:v>Client identity team / Engineering</x:v>
      </x:c>
      <x:c r="D16" s="11" t="str">
        <x:v>IdP, protocol, claims, role mapping and deprovisioning</x:v>
      </x:c>
      <x:c r="E16" s="11" t="str">
        <x:v>SSO/MFA/revocation acceptance</x:v>
      </x:c>
      <x:c r="F16" s="11" t="str">
        <x:v>P2,S1</x:v>
      </x:c>
    </x:row>
    <x:row r="17" ht="51" customHeight="1">
      <x:c r="A17" s="3" t="str">
        <x:v>Operational handover</x:v>
      </x:c>
      <x:c r="B17" s="3" t="str">
        <x:v>Responsibilities and terms pending</x:v>
      </x:c>
      <x:c r="C17" s="3" t="str">
        <x:v>Service owner / Client IT</x:v>
      </x:c>
      <x:c r="D17" s="3" t="str">
        <x:v>Monitoring, patching, incident response, release and rollback ownership</x:v>
      </x:c>
      <x:c r="E17" s="3" t="str">
        <x:v>Signed responsibility matrix and runbooks</x:v>
      </x:c>
      <x:c r="F17" s="3" t="str">
        <x:v>R1</x:v>
      </x:c>
    </x:row>
  </x:sheetData>
  <x:pageMargins left="0.7" right="0.7" top="0.75" bottom="0.75" header="0.3" footer="0.3"/>
  <x:tableParts count="1">
    <x:tablePart xmlns:r="http://schemas.openxmlformats.org/officeDocument/2006/relationships" r:id="Rcdbd1664bf9e408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2.5" hidden="0" customWidth="1"/>
    <x:col min="2" max="2" width="81.25" hidden="0" customWidth="1"/>
    <x:col min="3" max="3" width="56.25" hidden="0" customWidth="1"/>
    <x:col min="4" max="4" width="12.5" hidden="0" customWidth="1"/>
  </x:cols>
  <x:sheetData>
    <x:row r="1" ht="10.5" customHeight="1">
      <x:c r="A1" s="3"/>
      <x:c r="B1" s="3"/>
      <x:c r="C1" s="3"/>
      <x:c r="D1" s="3"/>
    </x:row>
    <x:row r="2" ht="22.5" customHeight="1">
      <x:c r="A2" s="5" t="str">
        <x:v>Presenter answer sheet</x:v>
      </x:c>
      <x:c r="B2" s="3"/>
      <x:c r="C2" s="3"/>
      <x:c r="D2" s="3"/>
    </x:row>
    <x:row r="3" ht="17.25" customHeight="1">
      <x:c r="A3" s="6" t="str">
        <x:v>Use these short answers in the IT discussion. Read the follow-up boundary before making a commitment.</x:v>
      </x:c>
      <x:c r="B3" s="3"/>
      <x:c r="C3" s="3"/>
      <x:c r="D3" s="3"/>
    </x:row>
    <x:row r="4" ht="18" customHeight="1">
      <x:c r="A4" s="3"/>
      <x:c r="B4" s="3"/>
      <x:c r="C4" s="3"/>
      <x:c r="D4" s="3"/>
    </x:row>
    <x:row r="5" ht="18" customHeight="1">
      <x:c r="A5" s="3"/>
      <x:c r="B5" s="3"/>
      <x:c r="C5" s="3"/>
      <x:c r="D5" s="3"/>
    </x:row>
    <x:row r="6" ht="30" customHeight="1">
      <x:c r="A6" s="10" t="str">
        <x:v>Likely client question</x:v>
      </x:c>
      <x:c r="B6" s="10" t="str">
        <x:v>Suggested answer</x:v>
      </x:c>
      <x:c r="C6" s="10" t="str">
        <x:v>Follow-up / boundary</x:v>
      </x:c>
      <x:c r="D6" s="10" t="str">
        <x:v>Source IDs</x:v>
      </x:c>
    </x:row>
    <x:row r="7" ht="51" customHeight="1">
      <x:c r="A7" s="3" t="str">
        <x:v>What is Desktop?</x:v>
      </x:c>
      <x:c r="B7" s="3" t="str">
        <x:v>The inspected Desktop is a browser-based planning application built with React/Vite and an Express API. It is not an installed Windows package in this source.</x:v>
      </x:c>
      <x:c r="C7" s="3" t="str">
        <x:v>Confirm the intended client delivery and supported browsers.</x:v>
      </x:c>
      <x:c r="D7" s="3" t="str">
        <x:v>D1</x:v>
      </x:c>
    </x:row>
    <x:row r="8" ht="51" customHeight="1">
      <x:c r="A8" s="11" t="str">
        <x:v>Where will it run?</x:v>
      </x:c>
      <x:c r="B8" s="11" t="str">
        <x:v>The application can be packaged for an agreed hosted environment. Our deployment diagram is a proposal; the hosting region, operator and production topology need agreement.</x:v>
      </x:c>
      <x:c r="C8" s="11" t="str">
        <x:v>Ask for hosting, residency and network requirements.</x:v>
      </x:c>
      <x:c r="D8" s="11" t="str">
        <x:v>R1</x:v>
      </x:c>
    </x:row>
    <x:row r="9" ht="66" customHeight="1">
      <x:c r="A9" s="3" t="str">
        <x:v>Can we use corporate login?</x:v>
      </x:c>
      <x:c r="B9" s="3" t="str">
        <x:v>The current portal login uses local accounts and JWT. Corporate SSO/MFA integration is a defined development and acceptance item. Desktop API access control also needs implementation.</x:v>
      </x:c>
      <x:c r="C9" s="3" t="str">
        <x:v>Do not describe SSO or uniform five-app RBAC as already delivered.</x:v>
      </x:c>
      <x:c r="D9" s="3" t="str">
        <x:v>P2,D1</x:v>
      </x:c>
    </x:row>
    <x:row r="10" ht="51" customHeight="1">
      <x:c r="A10" s="11" t="str">
        <x:v>How is access controlled?</x:v>
      </x:c>
      <x:c r="B10" s="11" t="str">
        <x:v>Portal role and scope helpers exist. We have documented their matrix and identified approval-scope and separation-of-duty gaps for closure.</x:v>
      </x:c>
      <x:c r="C10" s="11" t="str">
        <x:v>Agree approver scope and whether self-approval is prohibited.</x:v>
      </x:c>
      <x:c r="D10" s="11" t="str">
        <x:v>P1,P3</x:v>
      </x:c>
    </x:row>
    <x:row r="11" ht="51" customHeight="1">
      <x:c r="A11" s="3" t="str">
        <x:v>How do the applications share data?</x:v>
      </x:c>
      <x:c r="B11" s="3" t="str">
        <x:v>They use MongoDB-backed services and common asset references. We need to reconcile environment database selection before deployment.</x:v>
      </x:c>
      <x:c r="C11" s="3" t="str">
        <x:v>Confirm the authoritative asset owner and environment data boundaries.</x:v>
      </x:c>
      <x:c r="D11" s="3" t="str">
        <x:v>D2,D4,D5</x:v>
      </x:c>
    </x:row>
    <x:row r="12" ht="66" customHeight="1">
      <x:c r="A12" s="11" t="str">
        <x:v>What does simulation optimise?</x:v>
      </x:c>
      <x:c r="B12" s="11" t="str">
        <x:v>It uses daily sequential flow calculations to allocate feasible supply with variable operating cost and storage policy. It is not evidence of pressure/head-loss hydraulic simulation or globally optimal multi-period scheduling.</x:v>
      </x:c>
      <x:c r="C12" s="11" t="str">
        <x:v>Use shortage, bottleneck and storage fixtures to explain behaviour.</x:v>
      </x:c>
      <x:c r="D12" s="11" t="str">
        <x:v>D5,T1</x:v>
      </x:c>
    </x:row>
    <x:row r="13" ht="51" customHeight="1">
      <x:c r="A13" s="3" t="str">
        <x:v>Can a user change a decision?</x:v>
      </x:c>
      <x:c r="B13" s="3" t="str">
        <x:v>Supported edits have quantity bounds and comment rules. Currently they do not recalculate network flows or plant allocations, so a feasibility revalidation policy is required.</x:v>
      </x:c>
      <x:c r="C13" s="3" t="str">
        <x:v>Do not demonstrate a quantity override as a physically re-optimised result.</x:v>
      </x:c>
      <x:c r="D13" s="3" t="str">
        <x:v>D3,D4</x:v>
      </x:c>
    </x:row>
    <x:row r="14" ht="66" customHeight="1">
      <x:c r="A14" s="11" t="str">
        <x:v>What happens on Publish?</x:v>
      </x:c>
      <x:c r="B14" s="11" t="str">
        <x:v>It writes production allocations and demand/maintenance decision metadata. It preserves portal approval state and actual operating values. Transactional failure recovery is a development item.</x:v>
      </x:c>
      <x:c r="C14" s="11" t="str">
        <x:v>Show the exact field mapping; avoid assuming every portal displays every field.</x:v>
      </x:c>
      <x:c r="D14" s="11" t="str">
        <x:v>D4,P4</x:v>
      </x:c>
    </x:row>
    <x:row r="15" ht="51" customHeight="1">
      <x:c r="A15" s="3" t="str">
        <x:v>What integrations exist?</x:v>
      </x:c>
      <x:c r="B15" s="3" t="str">
        <x:v>Internal data sharing, file exchange, map services and email adapter paths exist. ERP, corporate identity and telemetry connectors need specific scope and implementation.</x:v>
      </x:c>
      <x:c r="C15" s="3" t="str">
        <x:v>Ask for system names, data direction, frequency, units and owner.</x:v>
      </x:c>
      <x:c r="D15" s="3" t="str">
        <x:v>G1,P5,P6,S1</x:v>
      </x:c>
    </x:row>
    <x:row r="16" ht="51" customHeight="1">
      <x:c r="A16" s="11" t="str">
        <x:v>What evidence can you show?</x:v>
      </x:c>
      <x:c r="B16" s="11" t="str">
        <x:v>We reran 87 existing backend tests successfully. We have not established client-host load capacity, penetration-test results or measured restore targets in this review.</x:v>
      </x:c>
      <x:c r="C16" s="11" t="str">
        <x:v>Agree the acceptance evidence and owners before production approval.</x:v>
      </x:c>
      <x:c r="D16" s="11" t="str">
        <x:v>T1,R1</x:v>
      </x:c>
    </x:row>
  </x:sheetData>
  <x:pageMargins left="0.7" right="0.7" top="0.75" bottom="0.75" header="0.3" footer="0.3"/>
  <x:tableParts count="1">
    <x:tablePart xmlns:r="http://schemas.openxmlformats.org/officeDocument/2006/relationships" r:id="R0e140bbd34ae4c9e"/>
  </x:tableParts>
</x:worksheet>
</file>